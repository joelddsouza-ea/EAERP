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Working Folder\October 2026\"/>
    </mc:Choice>
  </mc:AlternateContent>
  <bookViews>
    <workbookView xWindow="0" yWindow="0" windowWidth="23040" windowHeight="8208" tabRatio="500"/>
  </bookViews>
  <sheets>
    <sheet name="Estimate" sheetId="1" r:id="rId1"/>
    <sheet name="EA 360 Report" sheetId="2" r:id="rId2"/>
    <sheet name="EA Elite Report" sheetId="3" r:id="rId3"/>
    <sheet name="Masters" sheetId="4" r:id="rId4"/>
    <sheet name="Line Items" sheetId="5" r:id="rId5"/>
    <sheet name="How to Use" sheetId="6" r:id="rId6"/>
    <sheet name="Ref" sheetId="7" state="hidden" r:id="rId7"/>
  </sheets>
  <definedNames>
    <definedName name="CarTypeList">Masters!$D$5:$D$11</definedName>
    <definedName name="EST_CAR">Estimate!$C$9</definedName>
    <definedName name="EST_CUST">Estimate!$C$7</definedName>
    <definedName name="EST_DATE">Estimate!$E$6</definedName>
    <definedName name="EST_KMS">Estimate!$C$8</definedName>
    <definedName name="EST_PLAN">Estimate!$B$11</definedName>
    <definedName name="EST_REG">Estimate!$E$8</definedName>
    <definedName name="LI_Amounts">'Line Items'!$D$6:$P$31</definedName>
    <definedName name="LI_ColKey">'Line Items'!$D$4:$P$4</definedName>
    <definedName name="LI_Desc">'Line Items'!$C$6:$C$31</definedName>
    <definedName name="LI_Key">'Line Items'!$Q$6:$Q$31</definedName>
    <definedName name="LitCarType">Masters!$B$32:$B$38</definedName>
    <definedName name="LitFull">Masters!$G$32:$G$38</definedName>
    <definedName name="LitRefresh">Masters!$F$32:$F$38</definedName>
    <definedName name="OilGradeCol">Masters!$B$25:$B$27</definedName>
    <definedName name="OilGradeList">Masters!$G$5:$G$7</definedName>
    <definedName name="OilName">Masters!$D$25:$D$27</definedName>
    <definedName name="OilRate">Masters!$H$25:$H$27</definedName>
    <definedName name="PayModeList">Masters!$B$16:$B$20</definedName>
    <definedName name="PkgKey">Masters!$K$43:$K$107</definedName>
    <definedName name="PkgVal">Masters!$H$43:$H$107</definedName>
    <definedName name="PlanList">Masters!$B$5:$B$9</definedName>
    <definedName name="_xlnm.Print_Area" localSheetId="1">'EA 360 Report'!$A$1:$G$76</definedName>
    <definedName name="_xlnm.Print_Area" localSheetId="2">'EA Elite Report'!$A$1:$G$81</definedName>
    <definedName name="_xlnm.Print_Area" localSheetId="0">Estimate!$A$1:$F$55</definedName>
    <definedName name="_xlnm.Print_Area" localSheetId="4">'Line Items'!$B$1:$P$33</definedName>
    <definedName name="_xlnm.Print_Area" localSheetId="3">Masters!$B$1:$H$107</definedName>
    <definedName name="WordsTable">Ref!$A$1:$A$100</definedName>
  </definedNam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Q31" i="5" l="1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D77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B9" i="3"/>
  <c r="E8" i="3"/>
  <c r="B8" i="3"/>
  <c r="B7" i="3"/>
  <c r="B6" i="3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B9" i="2"/>
  <c r="E8" i="2"/>
  <c r="B8" i="2"/>
  <c r="B7" i="2"/>
  <c r="B6" i="2"/>
  <c r="D55" i="1"/>
  <c r="E38" i="1"/>
  <c r="E37" i="1"/>
  <c r="E36" i="1"/>
  <c r="E35" i="1"/>
  <c r="E34" i="1"/>
  <c r="E33" i="1"/>
  <c r="E32" i="1"/>
  <c r="E31" i="1"/>
  <c r="H19" i="1"/>
  <c r="H18" i="1"/>
  <c r="H17" i="1"/>
  <c r="D16" i="1"/>
  <c r="E16" i="1" s="1"/>
  <c r="B16" i="1"/>
  <c r="D72" i="2"/>
  <c r="E43" i="1" l="1"/>
  <c r="E44" i="1" s="1"/>
  <c r="E41" i="1"/>
  <c r="E40" i="1"/>
  <c r="D25" i="1"/>
  <c r="C23" i="1"/>
  <c r="E23" i="1" s="1"/>
  <c r="G23" i="1" s="1"/>
  <c r="C22" i="1"/>
  <c r="E22" i="1" s="1"/>
  <c r="G22" i="1" s="1"/>
  <c r="C21" i="1"/>
  <c r="B20" i="1"/>
  <c r="C19" i="1"/>
  <c r="B19" i="1"/>
  <c r="B17" i="1"/>
  <c r="D27" i="1"/>
  <c r="C25" i="1"/>
  <c r="E25" i="1" s="1"/>
  <c r="G25" i="1" s="1"/>
  <c r="C24" i="1"/>
  <c r="G27" i="1"/>
  <c r="E27" i="1"/>
  <c r="C27" i="1"/>
  <c r="G26" i="1"/>
  <c r="C26" i="1"/>
  <c r="B26" i="1"/>
  <c r="B25" i="1"/>
  <c r="B24" i="1"/>
  <c r="B23" i="1"/>
  <c r="B22" i="1"/>
  <c r="B21" i="1"/>
  <c r="C20" i="1"/>
  <c r="C17" i="1"/>
  <c r="B27" i="1"/>
  <c r="C18" i="1"/>
  <c r="B18" i="1"/>
  <c r="E6" i="2"/>
  <c r="E6" i="3"/>
  <c r="E46" i="1" l="1"/>
  <c r="H46" i="1" s="1"/>
  <c r="B47" i="1" s="1"/>
  <c r="E17" i="1"/>
  <c r="G17" i="1" s="1"/>
  <c r="E20" i="1"/>
  <c r="G20" i="1" s="1"/>
  <c r="E18" i="1"/>
  <c r="G18" i="1" s="1"/>
  <c r="E21" i="1"/>
  <c r="G21" i="1" s="1"/>
  <c r="E19" i="1"/>
  <c r="G19" i="1" s="1"/>
  <c r="E26" i="1"/>
  <c r="D26" i="1"/>
  <c r="G24" i="1"/>
  <c r="H20" i="1" l="1"/>
  <c r="H21" i="1" s="1"/>
  <c r="E24" i="1" s="1"/>
  <c r="D24" i="1" s="1"/>
</calcChain>
</file>

<file path=xl/sharedStrings.xml><?xml version="1.0" encoding="utf-8"?>
<sst xmlns="http://schemas.openxmlformats.org/spreadsheetml/2006/main" count="866" uniqueCount="366">
  <si>
    <t>EXPRESS AUTOCARE</t>
  </si>
  <si>
    <t>Multi-Brand Car Service  Center</t>
  </si>
  <si>
    <t>Shop No. 6, Tycoon Sapphire, Nr. Godrej Hill Dmart, Khadakpada, Kalyan (West)   |   Mob: 99 75 68 72 80</t>
  </si>
  <si>
    <t>ESTIMATE</t>
  </si>
  <si>
    <t>Date:</t>
  </si>
  <si>
    <t>Service Plan</t>
  </si>
  <si>
    <t>Car Type</t>
  </si>
  <si>
    <t>EA Essentials</t>
  </si>
  <si>
    <t>Premium Luxury - Class 1</t>
  </si>
  <si>
    <t>Oil Grade</t>
  </si>
  <si>
    <t>Payment Mode</t>
  </si>
  <si>
    <t>Fully-Synthetic</t>
  </si>
  <si>
    <t>Cash</t>
  </si>
  <si>
    <t>Item Description</t>
  </si>
  <si>
    <t>Qty</t>
  </si>
  <si>
    <t>Rate</t>
  </si>
  <si>
    <t>Amount</t>
  </si>
  <si>
    <t xml:space="preserve">ADDITIONAL PARTS &amp; LABOUR  —  extra work over &amp; above the package </t>
  </si>
  <si>
    <t>Description</t>
  </si>
  <si>
    <t>Service Plan Total</t>
  </si>
  <si>
    <t>Additional Jobs Total</t>
  </si>
  <si>
    <t>GRAND TOTAL  (₹)</t>
  </si>
  <si>
    <t>Next Service Due:</t>
  </si>
  <si>
    <t>(or Kms, whichever earlier)</t>
  </si>
  <si>
    <t>Observations / Report:</t>
  </si>
  <si>
    <t>*  No Guarantee or Warranty on Spare Parts.   This is a computer-generated estimate and does not require a stamp or signature.</t>
  </si>
  <si>
    <t xml:space="preserve">Payment Mode: </t>
  </si>
  <si>
    <t>EA 360 Service Report   •   75 Activity Points Carried Out</t>
  </si>
  <si>
    <t>Engine &amp; Fluids   •  24 activities</t>
  </si>
  <si>
    <t>1. Drain old engine oil completely</t>
  </si>
  <si>
    <t>✓</t>
  </si>
  <si>
    <t>2. Inspect drain plug &amp; washer</t>
  </si>
  <si>
    <t>3. Replace drain plug washer</t>
  </si>
  <si>
    <t>4. Replace oil filter</t>
  </si>
  <si>
    <t>5. Replace engine oil</t>
  </si>
  <si>
    <t>6. Replace air filter element</t>
  </si>
  <si>
    <t>7. Inspect air filter housing &amp; seal</t>
  </si>
  <si>
    <t>8. Clean spark plugs</t>
  </si>
  <si>
    <t>9. Check &amp; adjust spark plug electrode gap</t>
  </si>
  <si>
    <t>10. Top up brake fluid</t>
  </si>
  <si>
    <t>11. Top up clutch fluid (if applicable)</t>
  </si>
  <si>
    <t>12. Top up power steering fluid (if applicable)</t>
  </si>
  <si>
    <t>13. Top up gear oil (if required)</t>
  </si>
  <si>
    <t>14. Top up coolant</t>
  </si>
  <si>
    <t>15. Top up battery distilled water</t>
  </si>
  <si>
    <t>16. Clean battery terminals</t>
  </si>
  <si>
    <t>17. Battery load testing</t>
  </si>
  <si>
    <t>18. Apply battery terminal coating</t>
  </si>
  <si>
    <t>19. Top up wiper washer fluid</t>
  </si>
  <si>
    <t>20. Align wiper water nozzles</t>
  </si>
  <si>
    <t>21. Check all radiator hoses</t>
  </si>
  <si>
    <t>22. Check drive belts for cracks</t>
  </si>
  <si>
    <t>23. Adjust belt tensioner if needed</t>
  </si>
  <si>
    <t>24. Check &amp; adjust clutch play</t>
  </si>
  <si>
    <t>Cabin, Lights &amp; Electricals   •  14 activities</t>
  </si>
  <si>
    <t>1. Check all glass winder operations</t>
  </si>
  <si>
    <t>2. Lubricate window run channels</t>
  </si>
  <si>
    <t>3. Replace cabin AC filter</t>
  </si>
  <si>
    <t>4. Check AC cooling performance</t>
  </si>
  <si>
    <t>5. Inspect all front lights</t>
  </si>
  <si>
    <t>6. Inspect all rear lights &amp; indicators</t>
  </si>
  <si>
    <t>7. Check internal lights</t>
  </si>
  <si>
    <t>8. Test all power switches</t>
  </si>
  <si>
    <t>9. Anti-squeak spray on hinges</t>
  </si>
  <si>
    <t>10. Check door locks operation</t>
  </si>
  <si>
    <t>11. Lubricate all door locks</t>
  </si>
  <si>
    <t>12. Lubricate glass run channels</t>
  </si>
  <si>
    <t>13. Onboard diagnostics scanning</t>
  </si>
  <si>
    <t>14. Reset service light</t>
  </si>
  <si>
    <t>Suspension, Wheels &amp; Brakes   •  24 activities</t>
  </si>
  <si>
    <t>1. Grease all wheel nuts &amp; bolts</t>
  </si>
  <si>
    <t>2. Clean front brake pads</t>
  </si>
  <si>
    <t>3. Lubricate front caliper pins</t>
  </si>
  <si>
    <t>4. Clean rear brake pads / liners</t>
  </si>
  <si>
    <t>5. Lubricate rear caliper pins</t>
  </si>
  <si>
    <t>6. Air bleed brake fluid lines</t>
  </si>
  <si>
    <t>7. Adjust hand brake</t>
  </si>
  <si>
    <t>8. Check front wheel bearings</t>
  </si>
  <si>
    <t>9. Check rear wheel bearings</t>
  </si>
  <si>
    <t>10. Inspect steering rack &amp; linkages</t>
  </si>
  <si>
    <t>11. Check ball joints &amp; boots</t>
  </si>
  <si>
    <t>12. Inspect front shock absorbers</t>
  </si>
  <si>
    <t>13. Inspect rear shock absorbers</t>
  </si>
  <si>
    <t>14. Re-torque chassis nuts &amp; bolts</t>
  </si>
  <si>
    <t>15. Check all tyres for damage</t>
  </si>
  <si>
    <t>16. Inspect all wheel rims</t>
  </si>
  <si>
    <t>17. Inspect wheel arches</t>
  </si>
  <si>
    <t>18. Inspect entire underbody</t>
  </si>
  <si>
    <t>19. Tyre cross rotation</t>
  </si>
  <si>
    <t>20. Final wheel nuts torque</t>
  </si>
  <si>
    <t>21. Check &amp; inflate all tyre pressures</t>
  </si>
  <si>
    <t>22. Wheel alignment</t>
  </si>
  <si>
    <t>23. Wheel balancing</t>
  </si>
  <si>
    <t>24. Add wheel balancing weights</t>
  </si>
  <si>
    <t>Road Test &amp; Final Checks   •  4 activities</t>
  </si>
  <si>
    <t>1. Trial drive - engine performance</t>
  </si>
  <si>
    <t>2. Trial drive - brake performance</t>
  </si>
  <si>
    <t>3. Trial drive - suspension check</t>
  </si>
  <si>
    <t>4. Final inspection post trial</t>
  </si>
  <si>
    <t>Cleaning &amp; Report   •  9 activities</t>
  </si>
  <si>
    <t>1. Vacuum interior</t>
  </si>
  <si>
    <t>2. Dashboard &amp; door trims wipe</t>
  </si>
  <si>
    <t>3. Dashboard &amp; door trims polish</t>
  </si>
  <si>
    <t>4. Clean interior floor mats</t>
  </si>
  <si>
    <t>5. Body wash</t>
  </si>
  <si>
    <t>6. Grease all door hinges</t>
  </si>
  <si>
    <t>7. Grease boot hinges</t>
  </si>
  <si>
    <t>8. AC disinfectant spray in vents</t>
  </si>
  <si>
    <t>9. Comprehensive service report</t>
  </si>
  <si>
    <t>ADDITIONAL JOBS DONE   (charges: refer to Estimate)</t>
  </si>
  <si>
    <t>OBSERVATIONS  (for your attention - advisable at / before next service)</t>
  </si>
  <si>
    <t>No</t>
  </si>
  <si>
    <t>Observations</t>
  </si>
  <si>
    <t>Severity</t>
  </si>
  <si>
    <t>Recommended at next visit:</t>
  </si>
  <si>
    <t>Note: Despite thorough checking, technical failure of parts can occur any time - especially wear &amp; tear components, electronic parts, sensors and battery.</t>
  </si>
  <si>
    <t>Service Advisor:   ________________________</t>
  </si>
  <si>
    <t>Customer Signature:   ________________________</t>
  </si>
  <si>
    <t>EA Elite Service Report   •   85 Activity Points Carried Out</t>
  </si>
  <si>
    <t>5. AC disinfectant spray in vents</t>
  </si>
  <si>
    <t>6. Inspect all front lights</t>
  </si>
  <si>
    <t>7. Inspect all rear lights &amp; indicators</t>
  </si>
  <si>
    <t>8. Check internal lights</t>
  </si>
  <si>
    <t>9. Test all power switches</t>
  </si>
  <si>
    <t>10. Anti-squeak spray on hinges</t>
  </si>
  <si>
    <t>11. Check door locks operation</t>
  </si>
  <si>
    <t>12. Lubricate all door locks</t>
  </si>
  <si>
    <t>Road Test &amp; Final Checks   •  5 activities</t>
  </si>
  <si>
    <t>5. Comprehensive report</t>
  </si>
  <si>
    <t>Interior Detailing   •  10 activities</t>
  </si>
  <si>
    <t>1. Roof shampooing</t>
  </si>
  <si>
    <t>2. Front seats shampooing</t>
  </si>
  <si>
    <t>3. Rear seats shampooing</t>
  </si>
  <si>
    <t>4. Seats scrubbing &amp; extraction</t>
  </si>
  <si>
    <t>5. Floor shampooing</t>
  </si>
  <si>
    <t>6. Floor scrubbing &amp; extraction</t>
  </si>
  <si>
    <t>7. Door trims scrubbing</t>
  </si>
  <si>
    <t>8. Door trims polishing</t>
  </si>
  <si>
    <t>9. Dashboard scrubbing</t>
  </si>
  <si>
    <t>10. Dashboard polishing</t>
  </si>
  <si>
    <t>Exterior Detailing   •  8 activities</t>
  </si>
  <si>
    <t>1. Polish paper sanding</t>
  </si>
  <si>
    <t>2. Buffing with rubbing compound</t>
  </si>
  <si>
    <t>3. Premium body wash</t>
  </si>
  <si>
    <t>4. Glaze coating application</t>
  </si>
  <si>
    <t>5. UV protection coating</t>
  </si>
  <si>
    <t>6. Engine compartment dressing</t>
  </si>
  <si>
    <t>7. Grease all door hinges</t>
  </si>
  <si>
    <t>8. Grease boot / tailgate hinges</t>
  </si>
  <si>
    <t>PRICE LIST  —  Edit any yellow number when a price changes. The Estimate updates automatically.</t>
  </si>
  <si>
    <t>WHAT STAFF CAN PICK</t>
  </si>
  <si>
    <t>EA Refresh</t>
  </si>
  <si>
    <t>Hatchback</t>
  </si>
  <si>
    <t>Semi-Synthetic</t>
  </si>
  <si>
    <t>Prem. Hatch / Sedan / Compact SUV</t>
  </si>
  <si>
    <t>EA Pro</t>
  </si>
  <si>
    <t>SUV / MUV</t>
  </si>
  <si>
    <t>Triple-Synthetic</t>
  </si>
  <si>
    <t>EA 360</t>
  </si>
  <si>
    <t>Premium SUV</t>
  </si>
  <si>
    <t>EA Elite</t>
  </si>
  <si>
    <t>Premium Luxury - Class 2</t>
  </si>
  <si>
    <t>Premium Luxury - Class 3</t>
  </si>
  <si>
    <t>PAYMENT MODES</t>
  </si>
  <si>
    <t>UPI</t>
  </si>
  <si>
    <t>Card</t>
  </si>
  <si>
    <t>Bank Transfer</t>
  </si>
  <si>
    <t>Credit (Pending)</t>
  </si>
  <si>
    <t>ENGINE OIL  (name &amp; selling rate shown on the estimate)</t>
  </si>
  <si>
    <t>Product Name (prints on estimate)</t>
  </si>
  <si>
    <t>Rate / Litre</t>
  </si>
  <si>
    <t>Mobil 5W-30 Semi Synthetic Engine Oil</t>
  </si>
  <si>
    <t>Mobil Super 3000 5W-30 Fully Synthetic Engine Oil</t>
  </si>
  <si>
    <t>Mobil 1 5W-30 Triple Synthetic Engine Oil</t>
  </si>
  <si>
    <t>ENGINE OIL QUANTITY  (litres)</t>
  </si>
  <si>
    <t>Refresh (L)</t>
  </si>
  <si>
    <t>Other Plans (L)</t>
  </si>
  <si>
    <t>PACKAGE PRICE LIST  —  what the customer pays (all-inclusive)   ★ keep this updated</t>
  </si>
  <si>
    <t>Price ₹</t>
  </si>
  <si>
    <t>LINE ITEMS  —  what shows on the estimate for each plan. Fill the ₹ amount for every Car Type × Oil Grade.</t>
  </si>
  <si>
    <t>The oil line and the labour line are automatic — do NOT list them here. Labour = Package Price − everything here.</t>
  </si>
  <si>
    <t>Hatchback|Semi-Synthetic</t>
  </si>
  <si>
    <t>Hatchback|Fully-Synthetic</t>
  </si>
  <si>
    <t>Prem. Hatch / Sedan / Compact SUV|Semi-Synthetic</t>
  </si>
  <si>
    <t>Prem. Hatch / Sedan / Compact SUV|Fully-Synthetic</t>
  </si>
  <si>
    <t>SUV / MUV|Semi-Synthetic</t>
  </si>
  <si>
    <t>SUV / MUV|Fully-Synthetic</t>
  </si>
  <si>
    <t>Premium SUV|Fully-Synthetic</t>
  </si>
  <si>
    <t>Premium Luxury - Class 1|Fully-Synthetic</t>
  </si>
  <si>
    <t>Premium Luxury - Class 1|Triple-Synthetic</t>
  </si>
  <si>
    <t>Premium Luxury - Class 2|Fully-Synthetic</t>
  </si>
  <si>
    <t>Premium Luxury - Class 2|Triple-Synthetic</t>
  </si>
  <si>
    <t>Premium Luxury - Class 3|Fully-Synthetic</t>
  </si>
  <si>
    <t>Premium Luxury - Class 3|Triple-Synthetic</t>
  </si>
  <si>
    <t>Plan</t>
  </si>
  <si>
    <t>Hatch
Semi</t>
  </si>
  <si>
    <t>Hatch
Fully</t>
  </si>
  <si>
    <t>Prm HB/Sdn
Semi</t>
  </si>
  <si>
    <t>Prm HB/Sdn
Fully</t>
  </si>
  <si>
    <t>SUV/MUV
Semi</t>
  </si>
  <si>
    <t>SUV/MUV
Fully</t>
  </si>
  <si>
    <t>Prem SUV
Fully</t>
  </si>
  <si>
    <t>PL C1
Fully</t>
  </si>
  <si>
    <t>PL C1
Triple</t>
  </si>
  <si>
    <t>PL C2
Fully</t>
  </si>
  <si>
    <t>PL C2
Triple</t>
  </si>
  <si>
    <t>PL C3
Fully</t>
  </si>
  <si>
    <t>PL C3
Triple</t>
  </si>
  <si>
    <t>EA Service Kit  (Consumables &amp; Lubricants Top-up)</t>
  </si>
  <si>
    <t>Oil Filter</t>
  </si>
  <si>
    <t>Car Wash</t>
  </si>
  <si>
    <t>Brake Service, Calliper &amp; Drum Lining Adjustment</t>
  </si>
  <si>
    <t>EA Care Treatment</t>
  </si>
  <si>
    <t>Air Filter</t>
  </si>
  <si>
    <t>AC Filter</t>
  </si>
  <si>
    <t>Wheel Alignment &amp; Balancing</t>
  </si>
  <si>
    <t>Interior Anti-Bacterial Treatment</t>
  </si>
  <si>
    <t>Exterior Treatment</t>
  </si>
  <si>
    <t>Legend:  Prm HB/Sdn = Prem. Hatch / Sedan / Compact SUV  •  PL C1/2/3 = Premium Luxury Class 1/2/3  •  grey = not offered</t>
  </si>
  <si>
    <t>EXPRESS AUTOCARE — How to Make an Estimate</t>
  </si>
  <si>
    <t>For the person making estimates — 6 steps on the 'Estimate' tab:</t>
  </si>
  <si>
    <t>1.  Type Customer Name, Car Model, Reg No and KMS at the top.</t>
  </si>
  <si>
    <t>2.  Pick the Service Plan from the drop-down.</t>
  </si>
  <si>
    <t>3.  Pick the Car Type from the drop-down.</t>
  </si>
  <si>
    <t>4.  Pick the Oil Grade:  Regular cars → Semi or Fully  •  Premium SUV → Fully  •  Premium Luxury → Fully or Triple.</t>
  </si>
  <si>
    <t>5.  Everything fills in: the oil line, the included items, the Labour line and the package total.</t>
  </si>
  <si>
    <t xml:space="preserve">        •  The Labour line sits right after the items and adjusts by itself so the package always totals correctly.</t>
  </si>
  <si>
    <t xml:space="preserve">        •  To add an extra item INSIDE the package, type its Qty &amp; Rate in the cream rows just above the Labour line —</t>
  </si>
  <si>
    <t xml:space="preserve">           the amount fills in and the Labour line reduces so the package total stays the same.</t>
  </si>
  <si>
    <t xml:space="preserve">        •  Change the oil litres and the Labour line re-balances on its own.</t>
  </si>
  <si>
    <t>6.  Extra work billed ON TOP goes in 'Additional Parts &amp; Labour' (type Qty &amp; Rate).</t>
  </si>
  <si>
    <t>7.  Discounts are separate: give a % and/or flat ₹ off the Service Plan, and a % and/or flat ₹ off the Additional Jobs.</t>
  </si>
  <si>
    <t xml:space="preserve">        The Grand Total combines both. The amount in words updates on its own. Print or Save-as-PDF.</t>
  </si>
  <si>
    <t xml:space="preserve">        The Grand Total and amount in words update on their own. Print or Save-as-PDF.</t>
  </si>
  <si>
    <t>The Service Report — only for EA 360 and EA Elite, handed to the customer with the estimate:</t>
  </si>
  <si>
    <t>•  Sold an EA 360? Open the 'EA 360 Report' tab.  Sold an EA Elite? Open the 'EA Elite Report' tab.</t>
  </si>
  <si>
    <t>•  Customer, car, reg no, kms and date fill in automatically from the Estimate. Additional jobs done are pulled too.</t>
  </si>
  <si>
    <t>•  All check points are pre-ticked (✓). Un-tick anything not done (e.g. wheel alignment on a home service).</t>
  </si>
  <si>
    <t>•  Note anything you spotted under Observations and set a Severity (Minor / Medium / Major). Print Estimate + Report together.</t>
  </si>
  <si>
    <t>•  (Refresh, Essentials and Pro don't use a service report.)</t>
  </si>
  <si>
    <t>If you see a red warning line:</t>
  </si>
  <si>
    <t>•  "oil grade not offered" → change the Oil Grade.   "item amounts exceed package" → the owner should fix those amounts in 'Line Items'.</t>
  </si>
  <si>
    <t>For the owner — where prices live:</t>
  </si>
  <si>
    <t>•  'Masters' tab: plans, car types, oil grades, payment modes, oil rates, oil litres, and the Package Price List.</t>
  </si>
  <si>
    <t>•  'Line Items' tab: the items shown for each plan, with a ₹ amount for every Car Type × Oil Grade. Fill this once.</t>
  </si>
  <si>
    <t>•  The Labour line = Package Price − (oil + all listed items). So keep listed amounts below the package price.</t>
  </si>
  <si>
    <t>•  To add or remove a standard item in a plan, edit the 'Line Items' tab — it appears on the estimate automatically.</t>
  </si>
  <si>
    <t>•  'EA 360 Report' / 'EA Elite Report' tabs are the customer check-sheets; their check-point lists are fixed to the service spec.</t>
  </si>
  <si>
    <t>•  Staff use the 'Estimate' tab and the matching report tab. Only the owner edits 'Masters' and 'Line Items'.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</si>
  <si>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</si>
  <si>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</si>
  <si>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</si>
  <si>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</si>
  <si>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</si>
  <si>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</si>
  <si>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</si>
  <si>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</si>
  <si>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</si>
  <si>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</si>
  <si>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</si>
  <si>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</si>
  <si>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</si>
  <si>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</si>
  <si>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</si>
  <si>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</si>
  <si>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</si>
  <si>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</si>
  <si>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</si>
  <si>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</si>
  <si>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</si>
  <si>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</si>
  <si>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</si>
  <si>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</si>
  <si>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</si>
  <si>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</si>
  <si>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</si>
  <si>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</si>
  <si>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</si>
  <si>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</si>
  <si>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</si>
  <si>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</si>
  <si>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</si>
  <si>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</si>
  <si>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</si>
  <si>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</si>
  <si>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</si>
  <si>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</si>
  <si>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</si>
  <si>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</si>
  <si>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</si>
  <si>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</si>
  <si>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</si>
  <si>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</si>
  <si>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</si>
  <si>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</si>
  <si>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</si>
  <si>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</si>
  <si>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</si>
  <si>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</si>
  <si>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</si>
  <si>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</si>
  <si>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</si>
  <si>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</si>
  <si>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</si>
  <si>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</si>
  <si>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</si>
  <si>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</si>
  <si>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</si>
  <si>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</si>
  <si>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</si>
  <si>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</si>
  <si>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</si>
  <si>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</si>
  <si>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</si>
  <si>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</si>
  <si>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</si>
  <si>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</si>
  <si>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</si>
  <si>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</si>
  <si>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</si>
  <si>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</si>
  <si>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</si>
  <si>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</si>
  <si>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</si>
  <si>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</si>
  <si>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</si>
  <si>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</si>
  <si>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</si>
  <si>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</si>
  <si>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</si>
  <si>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</si>
  <si>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</si>
  <si>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</si>
  <si>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</si>
  <si>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</si>
  <si>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</si>
  <si>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</si>
  <si>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</si>
  <si>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</si>
  <si>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>Ninety</t>
  </si>
  <si>
    <t>Ninety One</t>
  </si>
  <si>
    <t>Ninety Two</t>
  </si>
  <si>
    <t>Ninety Three</t>
  </si>
  <si>
    <t>Ninety Four</t>
  </si>
  <si>
    <t>Ninety Five</t>
  </si>
  <si>
    <t>Ninety Six</t>
  </si>
  <si>
    <t>Ninety Seven</t>
  </si>
  <si>
    <t>Ninety Eight</t>
  </si>
  <si>
    <t>Ninety Nine</t>
  </si>
  <si>
    <t>Fuel Type: Petrol</t>
  </si>
  <si>
    <t xml:space="preserve"> </t>
  </si>
  <si>
    <t xml:space="preserve">Rear Shock Absorbers Leak </t>
  </si>
  <si>
    <t>Calliper Pin Noise</t>
  </si>
  <si>
    <t>All Mounts Weak</t>
  </si>
  <si>
    <t>Balance Link Rod Play</t>
  </si>
  <si>
    <t>Major</t>
  </si>
  <si>
    <t>Medium</t>
  </si>
  <si>
    <t>Wheel Alignment</t>
  </si>
  <si>
    <t>45406 KMs and/or 03.07.2027</t>
  </si>
  <si>
    <t>KMs: 56518</t>
  </si>
  <si>
    <t>Customer Name: Pranav Shroff</t>
  </si>
  <si>
    <t>Car Model: Hyundai Xcent</t>
  </si>
  <si>
    <t>Regn No:MH05DS4417</t>
  </si>
  <si>
    <t>Fog Lamp Blub LHS</t>
  </si>
  <si>
    <t>Wiper Blade Set</t>
  </si>
  <si>
    <t>Throttle Body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</si>
</sst>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_ * #,##0.00_ ;_ * \-#,##0.00_ ;_ * \-??_ ;_ @_ "/>
    <numFmt numFmtId="166" formatCode="0.0%"/>
  </numFmts>
  <fonts count="34" x14ac:knownFonts="1">
    <font>
      <sz val="11"/>
      <color theme="1"/>
      <name val="Calibri"/>
      <family val="2"/>
      <charset val="1"/>
    </font>
    <font>
      <b/>
      <sz val="22"/>
      <name val="Arial"/>
      <family val="2"/>
      <charset val="1"/>
    </font>
    <font>
      <sz val="9"/>
      <name val="Arial"/>
      <family val="2"/>
      <charset val="1"/>
    </font>
    <font>
      <b/>
      <sz val="10"/>
      <color rgb="FF1F3864"/>
      <name val="Arial"/>
      <family val="2"/>
    </font>
    <font>
      <b/>
      <sz val="10"/>
      <color rgb="FF0000FF"/>
      <name val="Arial"/>
      <family val="2"/>
    </font>
    <font>
      <b/>
      <sz val="9"/>
      <color rgb="FF595959"/>
      <name val="Arial"/>
      <family val="2"/>
    </font>
    <font>
      <b/>
      <sz val="9"/>
      <color rgb="FF0000FF"/>
      <name val="Arial"/>
      <family val="2"/>
      <charset val="1"/>
    </font>
    <font>
      <i/>
      <sz val="8"/>
      <color rgb="FF80808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i/>
      <sz val="9"/>
      <color rgb="FFC00000"/>
      <name val="Arial"/>
      <family val="2"/>
    </font>
    <font>
      <b/>
      <sz val="10"/>
      <color rgb="FFFFFFFF"/>
      <name val="Arial"/>
      <family val="2"/>
      <charset val="1"/>
    </font>
    <font>
      <b/>
      <sz val="11"/>
      <color rgb="FF1F3864"/>
      <name val="Arial"/>
      <family val="2"/>
    </font>
    <font>
      <b/>
      <sz val="14"/>
      <name val="Arial"/>
      <family val="2"/>
      <charset val="1"/>
    </font>
    <font>
      <b/>
      <i/>
      <sz val="9"/>
      <color rgb="FF1F3864"/>
      <name val="Arial"/>
      <family val="2"/>
    </font>
    <font>
      <sz val="11"/>
      <name val="Calibri"/>
      <family val="2"/>
      <charset val="1"/>
    </font>
    <font>
      <b/>
      <sz val="20"/>
      <name val="Arial"/>
      <family val="2"/>
      <charset val="1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  <font>
      <sz val="8"/>
      <color rgb="FF000000"/>
      <name val="Arial"/>
      <family val="2"/>
    </font>
    <font>
      <b/>
      <sz val="9"/>
      <color rgb="FF1E8449"/>
      <name val="Arial"/>
      <family val="2"/>
    </font>
    <font>
      <b/>
      <sz val="9"/>
      <color rgb="FF595959"/>
      <name val="Arial"/>
      <family val="2"/>
      <charset val="1"/>
    </font>
    <font>
      <b/>
      <sz val="12"/>
      <color rgb="FF1F3864"/>
      <name val="Arial"/>
      <family val="2"/>
    </font>
    <font>
      <b/>
      <sz val="8"/>
      <color rgb="FFFFFFFF"/>
      <name val="Arial"/>
      <family val="2"/>
    </font>
    <font>
      <sz val="10"/>
      <name val="Arial"/>
      <family val="2"/>
      <charset val="1"/>
    </font>
    <font>
      <b/>
      <sz val="16"/>
      <color rgb="FF1F3864"/>
      <name val="Arial"/>
      <family val="2"/>
    </font>
    <font>
      <b/>
      <sz val="12"/>
      <color rgb="FF2E5496"/>
      <name val="Arial"/>
      <family val="2"/>
    </font>
    <font>
      <b/>
      <i/>
      <sz val="14"/>
      <color rgb="FF1F3864"/>
      <name val="Arial"/>
      <family val="2"/>
    </font>
    <font>
      <b/>
      <sz val="13"/>
      <color rgb="FF0070C0"/>
      <name val="Arial"/>
      <family val="2"/>
    </font>
    <font>
      <sz val="11"/>
      <color rgb="FF0070C0"/>
      <name val="Calibri"/>
      <family val="2"/>
      <charset val="1"/>
    </font>
    <font>
      <b/>
      <sz val="14"/>
      <color rgb="FF0070C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DE7"/>
        <bgColor rgb="FFFFFBEA"/>
      </patternFill>
    </fill>
    <fill>
      <patternFill patternType="solid">
        <fgColor rgb="FFD9E1F2"/>
        <bgColor rgb="FFD9D9D9"/>
      </patternFill>
    </fill>
    <fill>
      <patternFill patternType="solid">
        <fgColor rgb="FFFFFFFF"/>
        <bgColor rgb="FFFFFBEA"/>
      </patternFill>
    </fill>
    <fill>
      <patternFill patternType="solid">
        <fgColor rgb="FF2E5496"/>
        <bgColor rgb="FF1F3864"/>
      </patternFill>
    </fill>
    <fill>
      <patternFill patternType="solid">
        <fgColor rgb="FFFFFBEA"/>
        <bgColor rgb="FFFFFDE7"/>
      </patternFill>
    </fill>
    <fill>
      <patternFill patternType="solid">
        <fgColor rgb="FFF2F2F2"/>
        <bgColor rgb="FFFFFBEA"/>
      </patternFill>
    </fill>
    <fill>
      <patternFill patternType="solid">
        <fgColor rgb="FFFFF2CC"/>
        <bgColor rgb="FFFFFBEA"/>
      </patternFill>
    </fill>
    <fill>
      <patternFill patternType="solid">
        <fgColor theme="3" tint="0.79989013336588644"/>
        <bgColor rgb="FFBDD7EE"/>
      </patternFill>
    </fill>
    <fill>
      <patternFill patternType="solid">
        <fgColor theme="6" tint="0.59987182226020086"/>
        <bgColor rgb="FFC6E0B4"/>
      </patternFill>
    </fill>
    <fill>
      <patternFill patternType="solid">
        <fgColor theme="7" tint="0.39988402966399123"/>
        <bgColor rgb="FFBFBFBF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5" tint="0.39988402966399123"/>
        <bgColor rgb="FFB3A2C7"/>
      </patternFill>
    </fill>
    <fill>
      <patternFill patternType="solid">
        <fgColor rgb="FF92D050"/>
        <bgColor rgb="FFC6E0B4"/>
      </patternFill>
    </fill>
    <fill>
      <patternFill patternType="solid">
        <fgColor theme="0" tint="-0.14999847407452621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rgb="FF1F38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808000"/>
      </patternFill>
    </fill>
    <fill>
      <patternFill patternType="solid">
        <fgColor rgb="FF0070C0"/>
        <bgColor rgb="FFFFFBEA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80808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auto="1"/>
      </top>
      <bottom/>
      <diagonal/>
    </border>
    <border>
      <left/>
      <right style="thin">
        <color rgb="FFBFBFBF"/>
      </right>
      <top style="thin">
        <color auto="1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7" fillId="0" borderId="0" xfId="0" applyFont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horizontal="right" vertical="center"/>
    </xf>
    <xf numFmtId="0" fontId="8" fillId="5" borderId="7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left" vertical="center" wrapText="1"/>
    </xf>
    <xf numFmtId="164" fontId="9" fillId="4" borderId="7" xfId="0" applyNumberFormat="1" applyFont="1" applyFill="1" applyBorder="1" applyAlignment="1">
      <alignment horizontal="center" vertical="center" wrapText="1"/>
    </xf>
    <xf numFmtId="165" fontId="9" fillId="4" borderId="7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horizontal="left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165" fontId="9" fillId="0" borderId="7" xfId="0" applyNumberFormat="1" applyFont="1" applyBorder="1" applyAlignment="1">
      <alignment horizontal="right" vertical="center"/>
    </xf>
    <xf numFmtId="3" fontId="0" fillId="0" borderId="0" xfId="0" applyNumberFormat="1"/>
    <xf numFmtId="3" fontId="9" fillId="0" borderId="7" xfId="0" applyNumberFormat="1" applyFont="1" applyBorder="1" applyAlignment="1">
      <alignment horizontal="right" vertical="center"/>
    </xf>
    <xf numFmtId="0" fontId="4" fillId="6" borderId="7" xfId="0" applyFont="1" applyFill="1" applyBorder="1" applyAlignment="1">
      <alignment horizontal="left" vertical="center" wrapText="1"/>
    </xf>
    <xf numFmtId="3" fontId="4" fillId="6" borderId="7" xfId="0" applyNumberFormat="1" applyFont="1" applyFill="1" applyBorder="1" applyAlignment="1">
      <alignment horizontal="center" vertical="center" wrapText="1"/>
    </xf>
    <xf numFmtId="165" fontId="4" fillId="6" borderId="7" xfId="0" applyNumberFormat="1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left" vertical="center" wrapText="1"/>
    </xf>
    <xf numFmtId="3" fontId="4" fillId="2" borderId="7" xfId="0" applyNumberFormat="1" applyFont="1" applyFill="1" applyBorder="1" applyAlignment="1">
      <alignment horizontal="center" vertical="center" wrapText="1"/>
    </xf>
    <xf numFmtId="165" fontId="4" fillId="2" borderId="7" xfId="0" applyNumberFormat="1" applyFont="1" applyFill="1" applyBorder="1" applyAlignment="1">
      <alignment horizontal="right" vertical="center"/>
    </xf>
    <xf numFmtId="165" fontId="9" fillId="2" borderId="7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9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center" vertical="center" wrapText="1"/>
    </xf>
    <xf numFmtId="0" fontId="0" fillId="0" borderId="7" xfId="0" applyBorder="1"/>
    <xf numFmtId="0" fontId="19" fillId="0" borderId="7" xfId="0" applyFont="1" applyBorder="1" applyAlignment="1">
      <alignment horizontal="center" vertical="center" wrapText="1"/>
    </xf>
    <xf numFmtId="0" fontId="3" fillId="0" borderId="0" xfId="0" applyFont="1"/>
    <xf numFmtId="0" fontId="4" fillId="8" borderId="7" xfId="0" applyFont="1" applyFill="1" applyBorder="1" applyAlignment="1">
      <alignment horizontal="left" vertical="center" wrapText="1"/>
    </xf>
    <xf numFmtId="3" fontId="4" fillId="8" borderId="7" xfId="0" applyNumberFormat="1" applyFont="1" applyFill="1" applyBorder="1" applyAlignment="1">
      <alignment horizontal="right" vertical="center"/>
    </xf>
    <xf numFmtId="0" fontId="9" fillId="7" borderId="7" xfId="0" applyFont="1" applyFill="1" applyBorder="1" applyAlignment="1">
      <alignment horizontal="left" vertical="center" wrapText="1"/>
    </xf>
    <xf numFmtId="164" fontId="4" fillId="8" borderId="7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23" fillId="5" borderId="7" xfId="0" applyFont="1" applyFill="1" applyBorder="1" applyAlignment="1">
      <alignment horizontal="center" vertical="center" wrapText="1"/>
    </xf>
    <xf numFmtId="0" fontId="24" fillId="9" borderId="7" xfId="0" applyFont="1" applyFill="1" applyBorder="1" applyAlignment="1">
      <alignment horizontal="left" vertical="center" wrapText="1"/>
    </xf>
    <xf numFmtId="3" fontId="24" fillId="9" borderId="7" xfId="0" applyNumberFormat="1" applyFont="1" applyFill="1" applyBorder="1" applyAlignment="1">
      <alignment horizontal="right" vertical="center"/>
    </xf>
    <xf numFmtId="0" fontId="24" fillId="10" borderId="7" xfId="0" applyFont="1" applyFill="1" applyBorder="1" applyAlignment="1">
      <alignment horizontal="left" vertical="center" wrapText="1"/>
    </xf>
    <xf numFmtId="3" fontId="24" fillId="10" borderId="7" xfId="0" applyNumberFormat="1" applyFont="1" applyFill="1" applyBorder="1" applyAlignment="1">
      <alignment horizontal="right" vertical="center"/>
    </xf>
    <xf numFmtId="0" fontId="24" fillId="11" borderId="7" xfId="0" applyFont="1" applyFill="1" applyBorder="1" applyAlignment="1">
      <alignment horizontal="left" vertical="center" wrapText="1"/>
    </xf>
    <xf numFmtId="3" fontId="24" fillId="11" borderId="7" xfId="0" applyNumberFormat="1" applyFont="1" applyFill="1" applyBorder="1" applyAlignment="1">
      <alignment horizontal="right" vertical="center"/>
    </xf>
    <xf numFmtId="0" fontId="24" fillId="12" borderId="7" xfId="0" applyFont="1" applyFill="1" applyBorder="1" applyAlignment="1">
      <alignment horizontal="left" vertical="center" wrapText="1"/>
    </xf>
    <xf numFmtId="3" fontId="24" fillId="12" borderId="7" xfId="0" applyNumberFormat="1" applyFont="1" applyFill="1" applyBorder="1" applyAlignment="1">
      <alignment horizontal="right" vertical="center"/>
    </xf>
    <xf numFmtId="0" fontId="24" fillId="8" borderId="7" xfId="0" applyFont="1" applyFill="1" applyBorder="1" applyAlignment="1">
      <alignment horizontal="left" vertical="center" wrapText="1"/>
    </xf>
    <xf numFmtId="3" fontId="24" fillId="8" borderId="7" xfId="0" applyNumberFormat="1" applyFont="1" applyFill="1" applyBorder="1" applyAlignment="1">
      <alignment horizontal="right" vertical="center"/>
    </xf>
    <xf numFmtId="0" fontId="24" fillId="13" borderId="7" xfId="0" applyFont="1" applyFill="1" applyBorder="1" applyAlignment="1">
      <alignment horizontal="left" vertical="center" wrapText="1"/>
    </xf>
    <xf numFmtId="3" fontId="24" fillId="13" borderId="7" xfId="0" applyNumberFormat="1" applyFont="1" applyFill="1" applyBorder="1" applyAlignment="1">
      <alignment horizontal="right" vertical="center"/>
    </xf>
    <xf numFmtId="0" fontId="24" fillId="14" borderId="7" xfId="0" applyFont="1" applyFill="1" applyBorder="1" applyAlignment="1">
      <alignment horizontal="left" vertical="center" wrapText="1"/>
    </xf>
    <xf numFmtId="3" fontId="24" fillId="14" borderId="7" xfId="0" applyNumberFormat="1" applyFont="1" applyFill="1" applyBorder="1" applyAlignment="1">
      <alignment horizontal="right" vertical="center"/>
    </xf>
    <xf numFmtId="0" fontId="24" fillId="15" borderId="7" xfId="0" applyFont="1" applyFill="1" applyBorder="1" applyAlignment="1">
      <alignment horizontal="left" vertical="center" wrapText="1"/>
    </xf>
    <xf numFmtId="3" fontId="24" fillId="15" borderId="7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0" fillId="16" borderId="7" xfId="0" applyFont="1" applyFill="1" applyBorder="1" applyAlignment="1">
      <alignment horizontal="center" vertical="center" wrapText="1"/>
    </xf>
    <xf numFmtId="0" fontId="8" fillId="17" borderId="7" xfId="0" applyFont="1" applyFill="1" applyBorder="1" applyAlignment="1">
      <alignment horizontal="center" vertical="center" wrapText="1"/>
    </xf>
    <xf numFmtId="0" fontId="30" fillId="0" borderId="0" xfId="0" applyFont="1" applyFill="1" applyAlignment="1">
      <alignment horizontal="left" vertical="center"/>
    </xf>
    <xf numFmtId="0" fontId="9" fillId="0" borderId="0" xfId="0" applyFont="1" applyBorder="1" applyAlignment="1">
      <alignment horizontal="right" vertical="center"/>
    </xf>
    <xf numFmtId="166" fontId="4" fillId="2" borderId="0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165" fontId="9" fillId="0" borderId="0" xfId="0" applyNumberFormat="1" applyFont="1" applyBorder="1" applyAlignment="1">
      <alignment horizontal="right" vertical="center"/>
    </xf>
    <xf numFmtId="0" fontId="0" fillId="0" borderId="0" xfId="0" applyBorder="1"/>
    <xf numFmtId="165" fontId="4" fillId="2" borderId="0" xfId="0" applyNumberFormat="1" applyFont="1" applyFill="1" applyBorder="1" applyAlignment="1">
      <alignment horizontal="right" vertical="center"/>
    </xf>
    <xf numFmtId="165" fontId="12" fillId="0" borderId="6" xfId="0" applyNumberFormat="1" applyFont="1" applyBorder="1" applyAlignment="1">
      <alignment horizontal="right" vertical="center"/>
    </xf>
    <xf numFmtId="165" fontId="13" fillId="0" borderId="6" xfId="0" applyNumberFormat="1" applyFont="1" applyBorder="1" applyAlignment="1">
      <alignment horizontal="right" vertical="center"/>
    </xf>
    <xf numFmtId="0" fontId="32" fillId="6" borderId="7" xfId="0" applyFont="1" applyFill="1" applyBorder="1" applyAlignment="1">
      <alignment horizontal="left" vertical="center" wrapText="1"/>
    </xf>
    <xf numFmtId="0" fontId="32" fillId="2" borderId="7" xfId="0" applyFont="1" applyFill="1" applyBorder="1" applyAlignment="1">
      <alignment horizontal="left" vertical="center" wrapText="1"/>
    </xf>
    <xf numFmtId="0" fontId="20" fillId="21" borderId="7" xfId="0" applyFont="1" applyFill="1" applyBorder="1" applyAlignment="1">
      <alignment horizontal="center" vertical="center" wrapText="1"/>
    </xf>
    <xf numFmtId="165" fontId="32" fillId="2" borderId="7" xfId="0" applyNumberFormat="1" applyFont="1" applyFill="1" applyBorder="1" applyAlignment="1">
      <alignment horizontal="right" vertical="center"/>
    </xf>
    <xf numFmtId="3" fontId="32" fillId="2" borderId="7" xfId="0" applyNumberFormat="1" applyFont="1" applyFill="1" applyBorder="1" applyAlignment="1">
      <alignment horizontal="center" vertical="center" wrapText="1"/>
    </xf>
    <xf numFmtId="3" fontId="32" fillId="6" borderId="7" xfId="0" applyNumberFormat="1" applyFont="1" applyFill="1" applyBorder="1" applyAlignment="1">
      <alignment horizontal="center" vertical="center" wrapText="1"/>
    </xf>
    <xf numFmtId="165" fontId="32" fillId="6" borderId="7" xfId="0" applyNumberFormat="1" applyFont="1" applyFill="1" applyBorder="1" applyAlignment="1">
      <alignment horizontal="right" vertical="center"/>
    </xf>
    <xf numFmtId="14" fontId="0" fillId="0" borderId="0" xfId="0" applyNumberFormat="1"/>
    <xf numFmtId="14" fontId="0" fillId="0" borderId="0" xfId="0" applyNumberFormat="1" applyAlignment="1">
      <alignment horizontal="center" vertical="top"/>
    </xf>
    <xf numFmtId="0" fontId="33" fillId="6" borderId="7" xfId="0" applyFont="1" applyFill="1" applyBorder="1" applyAlignment="1">
      <alignment horizontal="left" vertical="center" wrapText="1"/>
    </xf>
    <xf numFmtId="3" fontId="33" fillId="6" borderId="7" xfId="0" applyNumberFormat="1" applyFont="1" applyFill="1" applyBorder="1" applyAlignment="1">
      <alignment horizontal="center" vertical="center" wrapText="1"/>
    </xf>
    <xf numFmtId="165" fontId="33" fillId="6" borderId="7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0" fillId="0" borderId="0" xfId="0"/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Border="1" applyAlignment="1">
      <alignment horizontal="right" vertical="center"/>
    </xf>
    <xf numFmtId="0" fontId="9" fillId="4" borderId="7" xfId="0" applyFont="1" applyFill="1" applyBorder="1" applyAlignment="1">
      <alignment horizontal="left" vertical="top" wrapText="1"/>
    </xf>
    <xf numFmtId="0" fontId="0" fillId="0" borderId="16" xfId="0" applyBorder="1"/>
    <xf numFmtId="0" fontId="0" fillId="0" borderId="17" xfId="0" applyBorder="1"/>
    <xf numFmtId="0" fontId="0" fillId="0" borderId="22" xfId="0" applyBorder="1"/>
    <xf numFmtId="0" fontId="0" fillId="0" borderId="19" xfId="0" applyBorder="1"/>
    <xf numFmtId="0" fontId="0" fillId="0" borderId="23" xfId="0" applyBorder="1"/>
    <xf numFmtId="0" fontId="0" fillId="0" borderId="20" xfId="0" applyBorder="1"/>
    <xf numFmtId="0" fontId="0" fillId="0" borderId="21" xfId="0" applyBorder="1"/>
    <xf numFmtId="0" fontId="27" fillId="3" borderId="10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right" vertical="center"/>
    </xf>
    <xf numFmtId="0" fontId="0" fillId="0" borderId="6" xfId="0" applyBorder="1"/>
    <xf numFmtId="0" fontId="12" fillId="0" borderId="6" xfId="0" applyFont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31" fillId="20" borderId="11" xfId="0" applyFont="1" applyFill="1" applyBorder="1" applyAlignment="1">
      <alignment horizontal="left" vertical="center" wrapText="1"/>
    </xf>
    <xf numFmtId="0" fontId="0" fillId="18" borderId="11" xfId="0" applyFill="1" applyBorder="1"/>
    <xf numFmtId="0" fontId="10" fillId="0" borderId="0" xfId="0" applyFont="1" applyAlignment="1">
      <alignment horizontal="left" vertical="center" wrapText="1"/>
    </xf>
    <xf numFmtId="0" fontId="11" fillId="19" borderId="0" xfId="0" applyFont="1" applyFill="1" applyAlignment="1">
      <alignment horizontal="left" vertical="center" wrapText="1"/>
    </xf>
    <xf numFmtId="0" fontId="0" fillId="18" borderId="0" xfId="0" applyFill="1"/>
    <xf numFmtId="0" fontId="1" fillId="0" borderId="4" xfId="0" applyFont="1" applyBorder="1" applyAlignment="1">
      <alignment horizontal="center" vertical="center"/>
    </xf>
    <xf numFmtId="0" fontId="0" fillId="0" borderId="15" xfId="0" applyBorder="1"/>
    <xf numFmtId="0" fontId="2" fillId="0" borderId="5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3" fillId="0" borderId="6" xfId="0" applyFont="1" applyBorder="1" applyAlignment="1">
      <alignment horizontal="left" vertical="center" wrapText="1"/>
    </xf>
    <xf numFmtId="0" fontId="0" fillId="0" borderId="9" xfId="0" applyBorder="1"/>
    <xf numFmtId="0" fontId="0" fillId="0" borderId="8" xfId="0" applyBorder="1"/>
    <xf numFmtId="0" fontId="2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0" fillId="0" borderId="18" xfId="0" applyBorder="1"/>
    <xf numFmtId="0" fontId="4" fillId="2" borderId="7" xfId="0" applyFont="1" applyFill="1" applyBorder="1" applyAlignment="1">
      <alignment horizontal="left" vertical="center" wrapText="1"/>
    </xf>
    <xf numFmtId="0" fontId="0" fillId="0" borderId="24" xfId="0" applyBorder="1"/>
    <xf numFmtId="0" fontId="17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8" fillId="19" borderId="0" xfId="0" applyFont="1" applyFill="1" applyAlignment="1">
      <alignment horizontal="center" vertical="center" wrapText="1"/>
    </xf>
    <xf numFmtId="0" fontId="0" fillId="18" borderId="0" xfId="0" applyFill="1" applyAlignment="1">
      <alignment horizontal="center"/>
    </xf>
    <xf numFmtId="0" fontId="18" fillId="17" borderId="20" xfId="0" applyFont="1" applyFill="1" applyBorder="1" applyAlignment="1">
      <alignment horizontal="left" vertical="center" wrapText="1"/>
    </xf>
    <xf numFmtId="0" fontId="18" fillId="17" borderId="0" xfId="0" applyFont="1" applyFill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9" fillId="0" borderId="0" xfId="0" applyFont="1"/>
    <xf numFmtId="0" fontId="4" fillId="2" borderId="7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0" fillId="7" borderId="7" xfId="0" applyFont="1" applyFill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/>
    </xf>
    <xf numFmtId="0" fontId="3" fillId="7" borderId="7" xfId="0" applyFont="1" applyFill="1" applyBorder="1" applyAlignment="1">
      <alignment horizontal="left" vertical="center" wrapText="1"/>
    </xf>
    <xf numFmtId="0" fontId="8" fillId="17" borderId="0" xfId="0" applyFont="1" applyFill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22" fillId="0" borderId="0" xfId="0" applyFont="1"/>
    <xf numFmtId="0" fontId="9" fillId="7" borderId="7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left" vertical="center" wrapText="1"/>
    </xf>
    <xf numFmtId="164" fontId="4" fillId="8" borderId="7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7" fillId="0" borderId="0" xfId="0" applyFont="1"/>
  </cellXfs>
  <cellStyles count="1">
    <cellStyle name="Normal" xfId="0" builtinId="0"/>
  </cellStyles>
  <dxfs count="4"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>
          <bgColor rgb="FFFFFBEA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>
          <bgColor rgb="FFBDD7EE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sz val="11"/>
        <color rgb="FF1F3864"/>
        <name val="Arial"/>
      </font>
      <fill>
        <patternFill>
          <bgColor rgb="FFC6E0B4"/>
        </patternFill>
      </fill>
      <border>
        <left style="medium">
          <color rgb="FF1F3864"/>
        </left>
        <right style="medium">
          <color rgb="FF1F3864"/>
        </right>
        <top style="medium">
          <color rgb="FF1F3864"/>
        </top>
        <bottom style="medium">
          <color rgb="FF1F38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BE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F2F2F2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D7E4BD"/>
      <rgbColor rgb="FFFFF2CC"/>
      <rgbColor rgb="FFBDD7EE"/>
      <rgbColor rgb="FFD9D9D9"/>
      <rgbColor rgb="FFB3A2C7"/>
      <rgbColor rgb="FFFCD5B5"/>
      <rgbColor rgb="FF3366FF"/>
      <rgbColor rgb="FF33CCCC"/>
      <rgbColor rgb="FF92D050"/>
      <rgbColor rgb="FFFFCC00"/>
      <rgbColor rgb="FFBF8F00"/>
      <rgbColor rgb="FFFF6600"/>
      <rgbColor rgb="FF595959"/>
      <rgbColor rgb="FFC6E0B4"/>
      <rgbColor rgb="FF1F3864"/>
      <rgbColor rgb="FF1E8449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55"/>
  <sheetViews>
    <sheetView showGridLines="0" tabSelected="1" topLeftCell="A4" zoomScaleNormal="100" workbookViewId="0">
      <selection activeCell="B33" sqref="B33:D33"/>
    </sheetView>
  </sheetViews>
  <sheetFormatPr defaultColWidth="8.5546875" defaultRowHeight="14.25" customHeight="1" x14ac:dyDescent="0.3"/>
  <cols>
    <col min="1" max="1" width="8.88671875" customWidth="1"/>
    <col min="2" max="2" width="61.33203125" customWidth="1"/>
    <col min="3" max="3" width="13.88671875" customWidth="1"/>
    <col min="4" max="4" width="18.33203125" customWidth="1"/>
    <col min="5" max="5" width="19.6640625" customWidth="1"/>
    <col min="6" max="6" width="2.44140625" customWidth="1"/>
    <col min="7" max="8" width="13" hidden="1" customWidth="1"/>
    <col min="14" max="14" width="10.44140625" bestFit="1" customWidth="1"/>
  </cols>
  <sheetData>
    <row r="1" spans="2:5" ht="14.25" customHeight="1" x14ac:dyDescent="0.3">
      <c r="B1" s="5"/>
      <c r="C1" s="6"/>
      <c r="D1" s="6"/>
      <c r="E1" s="7"/>
    </row>
    <row r="2" spans="2:5" ht="30" customHeight="1" x14ac:dyDescent="0.3">
      <c r="B2" s="109" t="s">
        <v>0</v>
      </c>
      <c r="C2" s="87"/>
      <c r="D2" s="87"/>
      <c r="E2" s="110"/>
    </row>
    <row r="3" spans="2:5" ht="14.25" customHeight="1" x14ac:dyDescent="0.3">
      <c r="B3" s="117" t="s">
        <v>1</v>
      </c>
      <c r="C3" s="87"/>
      <c r="D3" s="87"/>
      <c r="E3" s="110"/>
    </row>
    <row r="4" spans="2:5" ht="13.5" customHeight="1" x14ac:dyDescent="0.3">
      <c r="B4" s="111" t="s">
        <v>2</v>
      </c>
      <c r="C4" s="112"/>
      <c r="D4" s="112"/>
      <c r="E4" s="113"/>
    </row>
    <row r="5" spans="2:5" ht="14.4" customHeight="1" x14ac:dyDescent="0.3"/>
    <row r="6" spans="2:5" ht="18" customHeight="1" x14ac:dyDescent="0.3">
      <c r="B6" s="65" t="s">
        <v>3</v>
      </c>
      <c r="D6" s="8" t="s">
        <v>4</v>
      </c>
      <c r="E6" s="82">
        <f ca="1">TODAY()</f>
        <v>46302</v>
      </c>
    </row>
    <row r="7" spans="2:5" ht="14.25" customHeight="1" x14ac:dyDescent="0.3">
      <c r="B7" s="4" t="s">
        <v>360</v>
      </c>
      <c r="C7" s="114" t="s">
        <v>349</v>
      </c>
      <c r="D7" s="115"/>
      <c r="E7" s="116"/>
    </row>
    <row r="8" spans="2:5" ht="14.25" customHeight="1" x14ac:dyDescent="0.3">
      <c r="B8" s="4" t="s">
        <v>361</v>
      </c>
      <c r="C8" s="114" t="s">
        <v>359</v>
      </c>
      <c r="D8" s="115"/>
      <c r="E8" s="116"/>
    </row>
    <row r="9" spans="2:5" ht="14.25" customHeight="1" x14ac:dyDescent="0.3">
      <c r="B9" s="4" t="s">
        <v>362</v>
      </c>
      <c r="C9" s="118"/>
      <c r="D9" s="115"/>
      <c r="E9" s="116"/>
    </row>
    <row r="10" spans="2:5" ht="15" customHeight="1" x14ac:dyDescent="0.3">
      <c r="B10" s="3" t="s">
        <v>5</v>
      </c>
      <c r="C10" s="119" t="s">
        <v>6</v>
      </c>
      <c r="D10" s="120"/>
      <c r="E10" s="121"/>
    </row>
    <row r="11" spans="2:5" ht="16.5" customHeight="1" x14ac:dyDescent="0.3">
      <c r="B11" s="2" t="s">
        <v>158</v>
      </c>
      <c r="C11" s="122" t="s">
        <v>154</v>
      </c>
      <c r="D11" s="123"/>
      <c r="E11" s="124"/>
    </row>
    <row r="12" spans="2:5" ht="15" customHeight="1" x14ac:dyDescent="0.3">
      <c r="B12" s="3" t="s">
        <v>9</v>
      </c>
      <c r="C12" s="125" t="s">
        <v>10</v>
      </c>
      <c r="D12" s="126"/>
      <c r="E12" s="127"/>
    </row>
    <row r="13" spans="2:5" ht="15" customHeight="1" x14ac:dyDescent="0.3">
      <c r="B13" s="2" t="s">
        <v>11</v>
      </c>
      <c r="C13" s="122" t="s">
        <v>12</v>
      </c>
      <c r="D13" s="123"/>
      <c r="E13" s="124"/>
    </row>
    <row r="14" spans="2:5" ht="15" customHeight="1" x14ac:dyDescent="0.3">
      <c r="B14" s="88"/>
      <c r="C14" s="87"/>
      <c r="D14" s="87"/>
      <c r="E14" s="87"/>
    </row>
    <row r="15" spans="2:5" ht="14.25" customHeight="1" x14ac:dyDescent="0.3">
      <c r="B15" s="64" t="s">
        <v>13</v>
      </c>
      <c r="C15" s="64" t="s">
        <v>14</v>
      </c>
      <c r="D15" s="64" t="s">
        <v>15</v>
      </c>
      <c r="E15" s="64" t="s">
        <v>16</v>
      </c>
    </row>
    <row r="16" spans="2:5" ht="14.25" customHeight="1" x14ac:dyDescent="0.3">
      <c r="B16" s="10" t="str">
        <f>INDEX(OilName,MATCH($B$13,OilGradeCol,0))</f>
        <v>Mobil Super 3000 5W-30 Fully Synthetic Engine Oil</v>
      </c>
      <c r="C16" s="11">
        <v>3.5</v>
      </c>
      <c r="D16" s="12">
        <f>INDEX(OilRate,MATCH($B$13,OilGradeCol,0))</f>
        <v>875</v>
      </c>
      <c r="E16" s="12">
        <f>C16*D16</f>
        <v>3062.5</v>
      </c>
    </row>
    <row r="17" spans="2:8" ht="15.75" customHeight="1" x14ac:dyDescent="0.3">
      <c r="B17" s="13" t="str">
        <f>IF(1&lt;=$H$17,IFERROR(INDEX(LI_Desc,MATCH($B$11&amp;"|"&amp;1,LI_Key,0)),""),IF(1=$H$17+2+1,$B$11&amp;" Maintenance Service  (Labour)",IF(1=$H$17+2+2,$B$11&amp;"  —  Package Total","")))</f>
        <v>Oil Filter</v>
      </c>
      <c r="C17" s="14">
        <f>IF(1&lt;=$H$17,1,"")</f>
        <v>1</v>
      </c>
      <c r="D17" s="15">
        <v>140</v>
      </c>
      <c r="E17" s="15">
        <f>IF(1&lt;=$H$17+2,IF(AND(C17="",D17=""),"",IF(C17="",1,N(C17))*N(D17)),IF(1=$H$17+2+1,$H$21,IF(1=$H$17+2+2,$H$19,"")))</f>
        <v>140</v>
      </c>
      <c r="G17">
        <f>IF(1&lt;=$H$17+2,N(E17),0)</f>
        <v>140</v>
      </c>
      <c r="H17">
        <f>SUMPRODUCT((LEFT(LI_Key,LEN($B$11)+1)=$B$11&amp;"|")*1)</f>
        <v>8</v>
      </c>
    </row>
    <row r="18" spans="2:8" ht="15.75" customHeight="1" x14ac:dyDescent="0.3">
      <c r="B18" s="13" t="str">
        <f>IF(2&lt;=$H$17,IFERROR(INDEX(LI_Desc,MATCH($B$11&amp;"|"&amp;2,LI_Key,0)),""),IF(2=$H$17+2+1,$B$11&amp;" Maintenance Service  (Labour)",IF(2=$H$17+2+2,$B$11&amp;"  —  Package Total","")))</f>
        <v>EA Care Treatment</v>
      </c>
      <c r="C18" s="14">
        <f>IF(2&lt;=$H$17,1,"")</f>
        <v>1</v>
      </c>
      <c r="D18" s="15">
        <v>799</v>
      </c>
      <c r="E18" s="15">
        <f>IF(2&lt;=$H$17+2,IF(AND(C18="",D18=""),"",IF(C18="",1,N(C18))*N(D18)),IF(2=$H$17+2+1,$H$21,IF(2=$H$17+2+2,$H$19,"")))</f>
        <v>799</v>
      </c>
      <c r="G18">
        <f>IF(2&lt;=$H$17+2,N(E18),0)</f>
        <v>799</v>
      </c>
      <c r="H18">
        <f>IFERROR(MATCH($C$11&amp;"|"&amp;$B$13,LI_ColKey,0),0)</f>
        <v>4</v>
      </c>
    </row>
    <row r="19" spans="2:8" ht="15.75" customHeight="1" x14ac:dyDescent="0.3">
      <c r="B19" s="13" t="str">
        <f>IF(3&lt;=$H$17,IFERROR(INDEX(LI_Desc,MATCH($B$11&amp;"|"&amp;3,LI_Key,0)),""),IF(3=$H$17+2+1,$B$11&amp;" Maintenance Service  (Labour)",IF(3=$H$17+2+2,$B$11&amp;"  —  Package Total","")))</f>
        <v>EA Service Kit  (Consumables &amp; Lubricants Top-up)</v>
      </c>
      <c r="C19" s="14">
        <f>IF(3&lt;=$H$17,1,"")</f>
        <v>1</v>
      </c>
      <c r="D19" s="15">
        <v>699</v>
      </c>
      <c r="E19" s="15">
        <f>IF(3&lt;=$H$17+2,IF(AND(C19="",D19=""),"",IF(C19="",1,N(C19))*N(D19)),IF(3=$H$17+2+1,$H$21,IF(3=$H$17+2+2,$H$19,"")))</f>
        <v>699</v>
      </c>
      <c r="G19">
        <f>IF(3&lt;=$H$17+2,N(E19),0)</f>
        <v>699</v>
      </c>
      <c r="H19" s="16">
        <f>IFERROR(INDEX(PkgVal,MATCH($B$11&amp;"|"&amp;$C$11&amp;"|"&amp;$B$13,PkgKey,0)),0)</f>
        <v>9575</v>
      </c>
    </row>
    <row r="20" spans="2:8" ht="15.75" customHeight="1" x14ac:dyDescent="0.3">
      <c r="B20" s="13" t="str">
        <f>IF(4&lt;=$H$17,IFERROR(INDEX(LI_Desc,MATCH($B$11&amp;"|"&amp;4,LI_Key,0)),""),IF(4=$H$17+2+1,$B$11&amp;" Maintenance Service",IF(4=$H$17+2+2,$B$11&amp;"  —  Package Total","")))</f>
        <v>Air Filter</v>
      </c>
      <c r="C20" s="14">
        <f>IF(4&lt;=$H$17,1,"")</f>
        <v>1</v>
      </c>
      <c r="D20" s="15">
        <v>350</v>
      </c>
      <c r="E20" s="15">
        <f>IF(4&lt;=$H$17+2,IF(AND(C20="",D20=""),"",IF(C20="",1,N(C20))*N(D20)),IF(4=$H$17+2+1,$H$21,IF(4=$H$17+2+2,$H$19,"")))</f>
        <v>350</v>
      </c>
      <c r="G20">
        <f>IF(4&lt;=$H$17+2,N(E20),0)</f>
        <v>350</v>
      </c>
      <c r="H20">
        <f>SUM(G17:G27)</f>
        <v>4311</v>
      </c>
    </row>
    <row r="21" spans="2:8" ht="15.75" customHeight="1" x14ac:dyDescent="0.3">
      <c r="B21" s="13" t="str">
        <f>IF(5&lt;=$H$17,IFERROR(INDEX(LI_Desc,MATCH($B$11&amp;"|"&amp;5,LI_Key,0)),""),IF(5=$H$17+2+1,$B$11&amp;" Maintenance Service  (Labour)",IF(5=$H$17+2+2,$B$11&amp;"  —  Package Total","")))</f>
        <v>AC Filter</v>
      </c>
      <c r="C21" s="14">
        <f>IF(5&lt;=$H$17,1,"")</f>
        <v>1</v>
      </c>
      <c r="D21" s="15">
        <v>425</v>
      </c>
      <c r="E21" s="15">
        <f>IF(5&lt;=$H$17+2,IF(AND(C21="",D21=""),"",IF(C21="",1,N(C21))*N(D21)),IF(5=$H$17+2+1,$H$21,IF(5=$H$17+2+2,$H$19,"")))</f>
        <v>425</v>
      </c>
      <c r="G21">
        <f>IF(5&lt;=$H$17+2,N(E21),0)</f>
        <v>425</v>
      </c>
      <c r="H21">
        <f>$H$19-E16-$H$20</f>
        <v>2201.5</v>
      </c>
    </row>
    <row r="22" spans="2:8" ht="15.75" customHeight="1" x14ac:dyDescent="0.3">
      <c r="B22" s="13" t="str">
        <f>IF(7&lt;=$H$17,IFERROR(INDEX(LI_Desc,MATCH($B$11&amp;"|"&amp;7,LI_Key,0)),""),IF(7=$H$17+2+1,$B$11&amp;" Maintenance Service",IF(7=$H$17+2+2,$B$11&amp;"  —  Package Total","")))</f>
        <v>Brake Service, Calliper &amp; Drum Lining Adjustment</v>
      </c>
      <c r="C22" s="14">
        <f>IF(7&lt;=$H$17,1,"")</f>
        <v>1</v>
      </c>
      <c r="D22" s="15">
        <v>1449</v>
      </c>
      <c r="E22" s="15">
        <f>IF(7&lt;=$H$17+2,IF(AND(C22="",D22=""),"",IF(C22="",1,N(C22))*N(D22)),IF(7=$H$17+2+1,$H$21,IF(7=$H$17+2+2,$H$19,"")))</f>
        <v>1449</v>
      </c>
      <c r="G22">
        <f>IF(7&lt;=$H$17+2,N(E22),0)</f>
        <v>1449</v>
      </c>
    </row>
    <row r="23" spans="2:8" ht="15.75" customHeight="1" x14ac:dyDescent="0.3">
      <c r="B23" s="13" t="str">
        <f>IF(8&lt;=$H$17,IFERROR(INDEX(LI_Desc,MATCH($B$11&amp;"|"&amp;8,LI_Key,0)),""),IF(8=$H$17+2+1,$B$11&amp;" Maintenance Service  (Labour)",IF(8=$H$17+2+2,$B$11&amp;"  —  Package Total","")))</f>
        <v>Car Wash</v>
      </c>
      <c r="C23" s="14">
        <f>IF(8&lt;=$H$17,1,"")</f>
        <v>1</v>
      </c>
      <c r="D23" s="15">
        <v>449</v>
      </c>
      <c r="E23" s="15">
        <f>IF(8&lt;=$H$17+2,IF(AND(C23="",D23=""),"",IF(C23="",1,N(C23))*N(D23)),IF(8=$H$17+2+1,$H$21,IF(8=$H$17+2+2,$H$19,"")))</f>
        <v>449</v>
      </c>
      <c r="G23">
        <f>IF(8&lt;=$H$17+2,N(E23),0)</f>
        <v>449</v>
      </c>
    </row>
    <row r="24" spans="2:8" ht="15.75" customHeight="1" x14ac:dyDescent="0.3">
      <c r="B24" s="13" t="str">
        <f>IF(11&lt;=$H$17,IFERROR(INDEX(LI_Desc,MATCH($B$11&amp;"|"&amp;11,LI_Key,0)),""),IF(11=$H$17+2+1,$B$11&amp;" Maintenance Service",IF(11=$H$17+2+2,$B$11&amp;"  —  Plan Total","")))</f>
        <v>EA 360 Maintenance Service</v>
      </c>
      <c r="C24" s="14" t="str">
        <f>IF(11&lt;=$H$17,1,"")</f>
        <v/>
      </c>
      <c r="D24" s="15">
        <f>IF(11&lt;=$H$17,IFERROR(INDEX(LI_Amounts,MATCH($B$11&amp;"|"&amp;11,LI_Key,0),$H$18),""),IF(11=$H$17+2+1,E24,""))</f>
        <v>2201.5</v>
      </c>
      <c r="E24" s="15">
        <f>IF(11&lt;=$H$17+2,IF(AND(C24="",D24=""),"",IF(C24="",1,N(C24))*N(D24)),IF(11=$H$17+2+1,$H$21,IF(11=$H$17+2+2,$H$19,"")))</f>
        <v>2201.5</v>
      </c>
      <c r="G24">
        <f>IF(11&lt;=$H$17+2,N(E24),0)</f>
        <v>0</v>
      </c>
    </row>
    <row r="25" spans="2:8" ht="15.75" customHeight="1" x14ac:dyDescent="0.3">
      <c r="B25" s="13" t="str">
        <f>IF(12&lt;=$H$17,IFERROR(INDEX(LI_Desc,MATCH($B$11&amp;"|"&amp;12,LI_Key,0)),""),IF(12=$H$17+2+1,$B$11&amp;" Maintenance Service  (Labour)",IF(12=$H$17+2+2,$B$11&amp;"  —  Package Total","")))</f>
        <v>EA 360  —  Package Total</v>
      </c>
      <c r="C25" s="14" t="str">
        <f>IF(12&lt;=$H$17,1,"")</f>
        <v/>
      </c>
      <c r="D25" s="15" t="str">
        <f>IF(12&lt;=$H$17,IFERROR(INDEX(LI_Amounts,MATCH($B$11&amp;"|"&amp;12,LI_Key,0),$H$18),""),IF(12=$H$17+2+1,E25,""))</f>
        <v/>
      </c>
      <c r="E25" s="15">
        <f>IF(12&lt;=$H$17+2,IF(AND(C25="",D25=""),"",IF(C25="",1,N(C25))*N(D25)),IF(12=$H$17+2+1,$H$21,IF(12=$H$17+2+2,$H$19,"")))</f>
        <v>9575</v>
      </c>
      <c r="G25">
        <f>IF(12&lt;=$H$17+2,N(E25),0)</f>
        <v>0</v>
      </c>
    </row>
    <row r="26" spans="2:8" ht="15.75" customHeight="1" x14ac:dyDescent="0.3">
      <c r="B26" s="13" t="str">
        <f>IF(13&lt;=$H$17,IFERROR(INDEX(LI_Desc,MATCH($B$11&amp;"|"&amp;13,LI_Key,0)),""),IF(13=$H$17+2+1,$B$11&amp;" Maintenance Service",IF(13=$H$17+2+2,$B$11&amp;"  —  Package Total","")))</f>
        <v/>
      </c>
      <c r="C26" s="14" t="str">
        <f>IF(13&lt;=$H$17,1,"")</f>
        <v/>
      </c>
      <c r="D26" s="15" t="str">
        <f>IF(13&lt;=$H$17,IFERROR(INDEX(LI_Amounts,MATCH($B$11&amp;"|"&amp;13,LI_Key,0),$H$18),""),IF(13=$H$17+2+1,E26,""))</f>
        <v/>
      </c>
      <c r="E26" s="15" t="str">
        <f>IF(13&lt;=$H$17+2,IF(AND(C26="",D26=""),"",IF(C26="",1,N(C26))*N(D26)),IF(13=$H$17+2+1,$H$21,IF(13=$H$17+2+2,$H$19,"")))</f>
        <v/>
      </c>
      <c r="G26">
        <f>IF(13&lt;=$H$17+2,N(E26),0)</f>
        <v>0</v>
      </c>
    </row>
    <row r="27" spans="2:8" ht="15.75" customHeight="1" x14ac:dyDescent="0.3">
      <c r="B27" s="13" t="str">
        <f>IF(14&lt;=$H$17,IFERROR(INDEX(LI_Desc,MATCH($B$11&amp;"|"&amp;14,LI_Key,0)),""),IF(14=$H$17+2+1,$B$11&amp;" Maintenance Service  (Labour)",IF(14=$H$17+2+2,$B$11&amp;"  —  Package Total","")))</f>
        <v/>
      </c>
      <c r="C27" s="14" t="str">
        <f>IF(14&lt;=$H$17,1,"")</f>
        <v/>
      </c>
      <c r="D27" s="17" t="str">
        <f>IF(14&lt;=$H$17,IFERROR(INDEX(LI_Amounts,MATCH($B$11&amp;"|"&amp;14,LI_Key,0),$H$18),""),IF(14=$H$17+2+1,E27,""))</f>
        <v/>
      </c>
      <c r="E27" s="15" t="str">
        <f>IF(14&lt;=$H$17+2,IF(AND(C27="",D27=""),"",IF(C27="",1,N(C27))*N(D27)),IF(14=$H$17+2+1,$H$21,IF(14=$H$17+2+2,$H$19,"")))</f>
        <v/>
      </c>
      <c r="G27">
        <f>IF(14&lt;=$H$17+2,N(E27),0)</f>
        <v>0</v>
      </c>
    </row>
    <row r="28" spans="2:8" ht="2.25" customHeight="1" x14ac:dyDescent="0.3">
      <c r="B28" s="106"/>
      <c r="C28" s="87"/>
      <c r="D28" s="87"/>
      <c r="E28" s="87"/>
    </row>
    <row r="29" spans="2:8" ht="15" customHeight="1" x14ac:dyDescent="0.3">
      <c r="B29" s="107" t="s">
        <v>17</v>
      </c>
      <c r="C29" s="108"/>
      <c r="D29" s="108"/>
      <c r="E29" s="108"/>
    </row>
    <row r="30" spans="2:8" ht="14.25" customHeight="1" x14ac:dyDescent="0.3">
      <c r="B30" s="3" t="s">
        <v>18</v>
      </c>
      <c r="C30" s="3" t="s">
        <v>14</v>
      </c>
      <c r="D30" s="3" t="s">
        <v>15</v>
      </c>
      <c r="E30" s="3" t="s">
        <v>16</v>
      </c>
    </row>
    <row r="31" spans="2:8" ht="14.25" customHeight="1" x14ac:dyDescent="0.3">
      <c r="B31" s="74" t="s">
        <v>363</v>
      </c>
      <c r="C31" s="79">
        <v>1</v>
      </c>
      <c r="D31" s="80">
        <v>375</v>
      </c>
      <c r="E31" s="77">
        <f t="shared" ref="E31:E38" si="0">IF(D31="","",IF(C31="",1,N(C31))*N(D31))</f>
        <v>375</v>
      </c>
    </row>
    <row r="32" spans="2:8" ht="14.25" customHeight="1" x14ac:dyDescent="0.3">
      <c r="B32" s="75" t="s">
        <v>364</v>
      </c>
      <c r="C32" s="78">
        <v>1</v>
      </c>
      <c r="D32" s="77">
        <v>550</v>
      </c>
      <c r="E32" s="77">
        <f t="shared" si="0"/>
        <v>550</v>
      </c>
    </row>
    <row r="33" spans="2:14" ht="14.25" customHeight="1" x14ac:dyDescent="0.3">
      <c r="B33" s="83" t="s">
        <v>365</v>
      </c>
      <c r="C33" s="84">
        <v>1</v>
      </c>
      <c r="D33" s="85">
        <v>1770</v>
      </c>
      <c r="E33" s="24">
        <f t="shared" si="0"/>
        <v>1770</v>
      </c>
      <c r="N33" s="81"/>
    </row>
    <row r="34" spans="2:14" ht="14.25" customHeight="1" x14ac:dyDescent="0.3">
      <c r="B34" s="21"/>
      <c r="C34" s="22"/>
      <c r="D34" s="23"/>
      <c r="E34" s="24" t="str">
        <f t="shared" si="0"/>
        <v/>
      </c>
    </row>
    <row r="35" spans="2:14" ht="14.25" customHeight="1" x14ac:dyDescent="0.3">
      <c r="B35" s="18"/>
      <c r="C35" s="19"/>
      <c r="D35" s="20"/>
      <c r="E35" s="24" t="str">
        <f t="shared" si="0"/>
        <v/>
      </c>
    </row>
    <row r="36" spans="2:14" ht="14.25" customHeight="1" x14ac:dyDescent="0.3">
      <c r="B36" s="18"/>
      <c r="C36" s="19"/>
      <c r="D36" s="20"/>
      <c r="E36" s="24" t="str">
        <f t="shared" si="0"/>
        <v/>
      </c>
    </row>
    <row r="37" spans="2:14" ht="14.25" customHeight="1" x14ac:dyDescent="0.3">
      <c r="B37" s="18"/>
      <c r="C37" s="19"/>
      <c r="D37" s="20"/>
      <c r="E37" s="24" t="str">
        <f t="shared" si="0"/>
        <v/>
      </c>
    </row>
    <row r="38" spans="2:14" ht="14.25" customHeight="1" x14ac:dyDescent="0.3">
      <c r="B38" s="18"/>
      <c r="C38" s="19"/>
      <c r="D38" s="20"/>
      <c r="E38" s="24" t="str">
        <f t="shared" si="0"/>
        <v/>
      </c>
    </row>
    <row r="39" spans="2:14" ht="14.4" customHeight="1" x14ac:dyDescent="0.3"/>
    <row r="40" spans="2:14" ht="14.25" customHeight="1" x14ac:dyDescent="0.3">
      <c r="B40" s="102" t="s">
        <v>19</v>
      </c>
      <c r="C40" s="102"/>
      <c r="D40" s="102"/>
      <c r="E40" s="72">
        <f>$H$19</f>
        <v>9575</v>
      </c>
    </row>
    <row r="41" spans="2:14" ht="14.25" customHeight="1" x14ac:dyDescent="0.3">
      <c r="B41" s="66"/>
      <c r="C41" s="67"/>
      <c r="D41" s="68"/>
      <c r="E41" s="69">
        <f>ROUND($H$19*C41,0)</f>
        <v>0</v>
      </c>
    </row>
    <row r="42" spans="2:14" ht="14.25" customHeight="1" x14ac:dyDescent="0.3">
      <c r="B42" s="90"/>
      <c r="C42" s="90"/>
      <c r="D42" s="70"/>
      <c r="E42" s="71">
        <v>0</v>
      </c>
    </row>
    <row r="43" spans="2:14" ht="14.25" customHeight="1" x14ac:dyDescent="0.3">
      <c r="B43" s="102" t="s">
        <v>20</v>
      </c>
      <c r="C43" s="102"/>
      <c r="D43" s="102"/>
      <c r="E43" s="72">
        <f>SUM(E31:E38)</f>
        <v>2695</v>
      </c>
    </row>
    <row r="44" spans="2:14" ht="14.25" customHeight="1" x14ac:dyDescent="0.3">
      <c r="B44" s="66"/>
      <c r="C44" s="67"/>
      <c r="D44" s="68"/>
      <c r="E44" s="69">
        <f>ROUND(E43*C44,0)</f>
        <v>0</v>
      </c>
    </row>
    <row r="45" spans="2:14" ht="15" customHeight="1" x14ac:dyDescent="0.3">
      <c r="B45" s="90"/>
      <c r="C45" s="90"/>
      <c r="D45" s="70"/>
      <c r="E45" s="71">
        <v>0</v>
      </c>
    </row>
    <row r="46" spans="2:14" ht="24" customHeight="1" x14ac:dyDescent="0.3">
      <c r="B46" s="100" t="s">
        <v>21</v>
      </c>
      <c r="C46" s="101"/>
      <c r="D46" s="101"/>
      <c r="E46" s="73">
        <f>($H$19-E41-E42)+(E43-E44-E45)</f>
        <v>12270</v>
      </c>
      <c r="H46">
        <f>ROUND(E46,0)</f>
        <v>12270</v>
      </c>
    </row>
    <row r="47" spans="2:14" ht="25.5" customHeight="1" x14ac:dyDescent="0.3">
      <c r="B47" s="99" t="str">
        <f>IF(H46&lt;=0,"Rupees Zero Only","Rupees "&amp;TRIM(IF(INT(H46/100000)&gt;0,INDEX(WordsTable,INT(H46/100000)+1)&amp;" Lakh ","")&amp;IF(INT(MOD(H46,100000)/1000)&gt;0,INDEX(WordsTable,INT(MOD(H46,100000)/1000)+1)&amp;" Thousand ","")&amp;IF(INT(MOD(H46,1000)/100)&gt;0,INDEX(WordsTable,INT(MOD(H46,1000)/100)+1)&amp;" Hundred ","")&amp;IF(MOD(H46,100)&gt;0,INDEX(WordsTable,MOD(H46,100)+1),""))&amp;" Only")</f>
        <v>Rupees Twelve Thousand Two Hundred Seventy Only</v>
      </c>
      <c r="C47" s="97"/>
      <c r="D47" s="97"/>
      <c r="E47" s="98"/>
    </row>
    <row r="48" spans="2:14" ht="14.4" customHeight="1" x14ac:dyDescent="0.3"/>
    <row r="49" spans="2:5" ht="19.5" customHeight="1" x14ac:dyDescent="0.3">
      <c r="B49" s="25" t="s">
        <v>22</v>
      </c>
      <c r="C49" s="104" t="s">
        <v>358</v>
      </c>
      <c r="D49" s="105"/>
      <c r="E49" s="1" t="s">
        <v>23</v>
      </c>
    </row>
    <row r="50" spans="2:5" ht="15" customHeight="1" x14ac:dyDescent="0.3">
      <c r="B50" s="89" t="s">
        <v>24</v>
      </c>
      <c r="C50" s="87"/>
      <c r="D50" s="87"/>
      <c r="E50" s="87"/>
    </row>
    <row r="51" spans="2:5" ht="14.25" customHeight="1" x14ac:dyDescent="0.3">
      <c r="B51" s="91"/>
      <c r="C51" s="92"/>
      <c r="D51" s="92"/>
      <c r="E51" s="93"/>
    </row>
    <row r="52" spans="2:5" ht="14.25" customHeight="1" x14ac:dyDescent="0.3">
      <c r="B52" s="94"/>
      <c r="C52" s="87"/>
      <c r="D52" s="87"/>
      <c r="E52" s="95"/>
    </row>
    <row r="53" spans="2:5" ht="14.25" customHeight="1" x14ac:dyDescent="0.3">
      <c r="B53" s="96"/>
      <c r="C53" s="97"/>
      <c r="D53" s="97"/>
      <c r="E53" s="98"/>
    </row>
    <row r="54" spans="2:5" ht="18.75" customHeight="1" x14ac:dyDescent="0.3">
      <c r="B54" s="88" t="s">
        <v>25</v>
      </c>
      <c r="C54" s="87"/>
      <c r="D54" s="87"/>
      <c r="E54" s="87"/>
    </row>
    <row r="55" spans="2:5" ht="14.25" customHeight="1" x14ac:dyDescent="0.3">
      <c r="B55" s="86" t="s">
        <v>26</v>
      </c>
      <c r="C55" s="87"/>
      <c r="D55" s="103" t="str">
        <f>$C$13</f>
        <v>Cash</v>
      </c>
      <c r="E55" s="87"/>
    </row>
  </sheetData>
  <mergeCells count="25">
    <mergeCell ref="C9:E9"/>
    <mergeCell ref="C10:E10"/>
    <mergeCell ref="C11:E11"/>
    <mergeCell ref="C12:E12"/>
    <mergeCell ref="C13:E13"/>
    <mergeCell ref="B2:E2"/>
    <mergeCell ref="B4:E4"/>
    <mergeCell ref="C8:E8"/>
    <mergeCell ref="B3:E3"/>
    <mergeCell ref="C7:E7"/>
    <mergeCell ref="B55:C55"/>
    <mergeCell ref="B14:E14"/>
    <mergeCell ref="B50:E50"/>
    <mergeCell ref="B45:C45"/>
    <mergeCell ref="B51:E53"/>
    <mergeCell ref="B47:E47"/>
    <mergeCell ref="B46:D46"/>
    <mergeCell ref="B54:E54"/>
    <mergeCell ref="B43:D43"/>
    <mergeCell ref="D55:E55"/>
    <mergeCell ref="B42:C42"/>
    <mergeCell ref="C49:D49"/>
    <mergeCell ref="B28:E28"/>
    <mergeCell ref="B40:D40"/>
    <mergeCell ref="B29:E29"/>
  </mergeCells>
  <conditionalFormatting sqref="B17:E27">
    <cfRule type="expression" dxfId="3" priority="2">
      <formula>ISNUMBER(SEARCH("Package Total",$B17))</formula>
    </cfRule>
    <cfRule type="expression" dxfId="2" priority="3">
      <formula>ISNUMBER(SEARCH("Maintenance Service",$B17))</formula>
    </cfRule>
    <cfRule type="expression" dxfId="1" priority="4">
      <formula>AND(ROW()-17&gt;$H$17,ROW()-17&lt;=$H$17+2)</formula>
    </cfRule>
    <cfRule type="expression" dxfId="0" priority="5">
      <formula>$B17&lt;&gt;""</formula>
    </cfRule>
  </conditionalFormatting>
  <dataValidations count="4">
    <dataValidation type="list" allowBlank="1" sqref="B11">
      <formula1>PlanList</formula1>
      <formula2>0</formula2>
    </dataValidation>
    <dataValidation type="list" allowBlank="1" sqref="C11">
      <formula1>CarTypeList</formula1>
      <formula2>0</formula2>
    </dataValidation>
    <dataValidation type="list" allowBlank="1" sqref="B13">
      <formula1>OilGradeList</formula1>
      <formula2>0</formula2>
    </dataValidation>
    <dataValidation type="list" allowBlank="1" sqref="C13">
      <formula1>PayModeList</formula1>
      <formula2>0</formula2>
    </dataValidation>
  </dataValidations>
  <pageMargins left="0.4" right="0.4" top="0.5" bottom="0.5" header="0.511811023622047" footer="0.511811023622047"/>
  <pageSetup scale="78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91"/>
  <sheetViews>
    <sheetView showGridLines="0" topLeftCell="A51" zoomScaleNormal="100" workbookViewId="0">
      <selection activeCell="L66" sqref="L66"/>
    </sheetView>
  </sheetViews>
  <sheetFormatPr defaultColWidth="8.5546875" defaultRowHeight="14.25" customHeight="1" x14ac:dyDescent="0.3"/>
  <cols>
    <col min="1" max="1" width="5.6640625" customWidth="1"/>
    <col min="2" max="2" width="27" customWidth="1"/>
    <col min="3" max="3" width="3.44140625" customWidth="1"/>
    <col min="4" max="4" width="27" customWidth="1"/>
    <col min="5" max="5" width="3.44140625" customWidth="1"/>
    <col min="6" max="6" width="27" customWidth="1"/>
    <col min="7" max="7" width="3.44140625" customWidth="1"/>
  </cols>
  <sheetData>
    <row r="1" spans="2:7" ht="14.25" customHeight="1" x14ac:dyDescent="0.3">
      <c r="B1" s="26"/>
      <c r="C1" s="27"/>
      <c r="D1" s="27"/>
      <c r="E1" s="27"/>
      <c r="F1" s="27"/>
      <c r="G1" s="28"/>
    </row>
    <row r="2" spans="2:7" ht="25.5" customHeight="1" x14ac:dyDescent="0.3">
      <c r="B2" s="144" t="s">
        <v>0</v>
      </c>
      <c r="C2" s="87"/>
      <c r="D2" s="87"/>
      <c r="E2" s="87"/>
      <c r="F2" s="87"/>
      <c r="G2" s="110"/>
    </row>
    <row r="3" spans="2:7" ht="14.25" customHeight="1" x14ac:dyDescent="0.3">
      <c r="B3" s="117" t="s">
        <v>27</v>
      </c>
      <c r="C3" s="87"/>
      <c r="D3" s="87"/>
      <c r="E3" s="87"/>
      <c r="F3" s="87"/>
      <c r="G3" s="110"/>
    </row>
    <row r="4" spans="2:7" ht="14.25" customHeight="1" x14ac:dyDescent="0.3">
      <c r="B4" s="117" t="s">
        <v>2</v>
      </c>
      <c r="C4" s="87"/>
      <c r="D4" s="87"/>
      <c r="E4" s="87"/>
      <c r="F4" s="87"/>
      <c r="G4" s="110"/>
    </row>
    <row r="5" spans="2:7" ht="14.25" customHeight="1" x14ac:dyDescent="0.3">
      <c r="B5" s="29"/>
      <c r="C5" s="30"/>
      <c r="D5" s="30"/>
      <c r="E5" s="30"/>
      <c r="F5" s="30"/>
      <c r="G5" s="31"/>
    </row>
    <row r="6" spans="2:7" ht="16.5" customHeight="1" x14ac:dyDescent="0.3">
      <c r="B6" s="138" t="str">
        <f>"EA 360  Service Report"</f>
        <v>EA 360  Service Report</v>
      </c>
      <c r="C6" s="139"/>
      <c r="D6" s="139"/>
      <c r="E6" s="148" t="str">
        <f ca="1">"Date:   "&amp;TEXT(EST_DATE,"dd-mmm-yyyy")</f>
        <v>Date:   07-Oct-2026</v>
      </c>
      <c r="F6" s="87"/>
      <c r="G6" s="87"/>
    </row>
    <row r="7" spans="2:7" ht="14.25" customHeight="1" x14ac:dyDescent="0.3">
      <c r="B7" s="132" t="str">
        <f>Estimate!B7</f>
        <v>Customer Name: Pranav Shroff</v>
      </c>
      <c r="C7" s="115"/>
      <c r="D7" s="116"/>
      <c r="E7" s="132"/>
      <c r="F7" s="115"/>
      <c r="G7" s="116"/>
    </row>
    <row r="8" spans="2:7" ht="14.25" customHeight="1" x14ac:dyDescent="0.3">
      <c r="B8" s="132" t="str">
        <f>Estimate!B8</f>
        <v>Car Model: Hyundai Xcent</v>
      </c>
      <c r="C8" s="115"/>
      <c r="D8" s="116"/>
      <c r="E8" s="132" t="str">
        <f>Estimate!C8</f>
        <v>KMs: 56518</v>
      </c>
      <c r="F8" s="115"/>
      <c r="G8" s="116"/>
    </row>
    <row r="9" spans="2:7" ht="14.25" customHeight="1" x14ac:dyDescent="0.3">
      <c r="B9" s="132" t="str">
        <f>Estimate!B9</f>
        <v>Regn No:MH05DS4417</v>
      </c>
      <c r="C9" s="115"/>
      <c r="D9" s="116"/>
      <c r="E9" s="147"/>
      <c r="F9" s="115"/>
      <c r="G9" s="116"/>
    </row>
    <row r="10" spans="2:7" ht="14.4" customHeight="1" x14ac:dyDescent="0.3"/>
    <row r="11" spans="2:7" ht="15" customHeight="1" x14ac:dyDescent="0.3">
      <c r="B11" s="136" t="s">
        <v>28</v>
      </c>
      <c r="C11" s="136"/>
      <c r="D11" s="136"/>
      <c r="E11" s="136"/>
      <c r="F11" s="136"/>
      <c r="G11" s="136"/>
    </row>
    <row r="12" spans="2:7" ht="14.25" customHeight="1" x14ac:dyDescent="0.3">
      <c r="B12" s="32" t="s">
        <v>29</v>
      </c>
      <c r="C12" s="33" t="s">
        <v>30</v>
      </c>
      <c r="D12" s="32" t="s">
        <v>31</v>
      </c>
      <c r="E12" s="33" t="s">
        <v>30</v>
      </c>
      <c r="F12" s="32" t="s">
        <v>32</v>
      </c>
      <c r="G12" s="33" t="s">
        <v>30</v>
      </c>
    </row>
    <row r="13" spans="2:7" ht="14.25" customHeight="1" x14ac:dyDescent="0.3">
      <c r="B13" s="32" t="s">
        <v>33</v>
      </c>
      <c r="C13" s="33" t="s">
        <v>30</v>
      </c>
      <c r="D13" s="32" t="s">
        <v>34</v>
      </c>
      <c r="E13" s="33" t="s">
        <v>30</v>
      </c>
      <c r="F13" s="32" t="s">
        <v>35</v>
      </c>
      <c r="G13" s="33" t="s">
        <v>30</v>
      </c>
    </row>
    <row r="14" spans="2:7" ht="19.5" customHeight="1" x14ac:dyDescent="0.3">
      <c r="B14" s="32" t="s">
        <v>36</v>
      </c>
      <c r="C14" s="33" t="s">
        <v>30</v>
      </c>
      <c r="D14" s="32" t="s">
        <v>37</v>
      </c>
      <c r="E14" s="63" t="s">
        <v>30</v>
      </c>
      <c r="F14" s="32" t="s">
        <v>38</v>
      </c>
      <c r="G14" s="63" t="s">
        <v>30</v>
      </c>
    </row>
    <row r="15" spans="2:7" ht="19.5" customHeight="1" x14ac:dyDescent="0.3">
      <c r="B15" s="32" t="s">
        <v>39</v>
      </c>
      <c r="C15" s="33" t="s">
        <v>30</v>
      </c>
      <c r="D15" s="32" t="s">
        <v>40</v>
      </c>
      <c r="E15" s="33" t="s">
        <v>30</v>
      </c>
      <c r="F15" s="32" t="s">
        <v>41</v>
      </c>
      <c r="G15" s="63" t="s">
        <v>30</v>
      </c>
    </row>
    <row r="16" spans="2:7" ht="14.25" customHeight="1" x14ac:dyDescent="0.3">
      <c r="B16" s="32" t="s">
        <v>42</v>
      </c>
      <c r="C16" s="76" t="s">
        <v>30</v>
      </c>
      <c r="D16" s="32" t="s">
        <v>43</v>
      </c>
      <c r="E16" s="33" t="s">
        <v>30</v>
      </c>
      <c r="F16" s="32" t="s">
        <v>44</v>
      </c>
      <c r="G16" s="33" t="s">
        <v>30</v>
      </c>
    </row>
    <row r="17" spans="2:7" ht="14.25" customHeight="1" x14ac:dyDescent="0.3">
      <c r="B17" s="32" t="s">
        <v>45</v>
      </c>
      <c r="C17" s="33" t="s">
        <v>30</v>
      </c>
      <c r="D17" s="32" t="s">
        <v>46</v>
      </c>
      <c r="E17" s="33" t="s">
        <v>30</v>
      </c>
      <c r="F17" s="32" t="s">
        <v>47</v>
      </c>
      <c r="G17" s="33" t="s">
        <v>30</v>
      </c>
    </row>
    <row r="18" spans="2:7" ht="14.25" customHeight="1" x14ac:dyDescent="0.3">
      <c r="B18" s="32" t="s">
        <v>48</v>
      </c>
      <c r="C18" s="33" t="s">
        <v>30</v>
      </c>
      <c r="D18" s="32" t="s">
        <v>49</v>
      </c>
      <c r="E18" s="33" t="s">
        <v>30</v>
      </c>
      <c r="F18" s="32" t="s">
        <v>50</v>
      </c>
      <c r="G18" s="33" t="s">
        <v>30</v>
      </c>
    </row>
    <row r="19" spans="2:7" ht="14.25" customHeight="1" x14ac:dyDescent="0.3">
      <c r="B19" s="32" t="s">
        <v>51</v>
      </c>
      <c r="C19" s="33" t="s">
        <v>30</v>
      </c>
      <c r="D19" s="32" t="s">
        <v>52</v>
      </c>
      <c r="E19" s="33" t="s">
        <v>30</v>
      </c>
      <c r="F19" s="32" t="s">
        <v>53</v>
      </c>
      <c r="G19" s="33" t="s">
        <v>30</v>
      </c>
    </row>
    <row r="20" spans="2:7" ht="15" customHeight="1" x14ac:dyDescent="0.3">
      <c r="B20" s="137" t="s">
        <v>54</v>
      </c>
      <c r="C20" s="108"/>
      <c r="D20" s="108"/>
      <c r="E20" s="108"/>
      <c r="F20" s="108"/>
      <c r="G20" s="108"/>
    </row>
    <row r="21" spans="2:7" ht="14.25" customHeight="1" x14ac:dyDescent="0.3">
      <c r="B21" s="32" t="s">
        <v>55</v>
      </c>
      <c r="C21" s="33" t="s">
        <v>30</v>
      </c>
      <c r="D21" s="32" t="s">
        <v>56</v>
      </c>
      <c r="E21" s="33" t="s">
        <v>30</v>
      </c>
      <c r="F21" s="32" t="s">
        <v>57</v>
      </c>
      <c r="G21" s="33" t="s">
        <v>30</v>
      </c>
    </row>
    <row r="22" spans="2:7" ht="14.25" customHeight="1" x14ac:dyDescent="0.3">
      <c r="B22" s="32" t="s">
        <v>58</v>
      </c>
      <c r="C22" s="33" t="s">
        <v>30</v>
      </c>
      <c r="D22" s="32" t="s">
        <v>59</v>
      </c>
      <c r="E22" s="33" t="s">
        <v>30</v>
      </c>
      <c r="F22" s="32" t="s">
        <v>60</v>
      </c>
      <c r="G22" s="33" t="s">
        <v>30</v>
      </c>
    </row>
    <row r="23" spans="2:7" ht="14.25" customHeight="1" x14ac:dyDescent="0.3">
      <c r="B23" s="32" t="s">
        <v>61</v>
      </c>
      <c r="C23" s="33" t="s">
        <v>30</v>
      </c>
      <c r="D23" s="32" t="s">
        <v>62</v>
      </c>
      <c r="E23" s="33" t="s">
        <v>30</v>
      </c>
      <c r="F23" s="32" t="s">
        <v>63</v>
      </c>
      <c r="G23" s="33" t="s">
        <v>30</v>
      </c>
    </row>
    <row r="24" spans="2:7" ht="14.25" customHeight="1" x14ac:dyDescent="0.3">
      <c r="B24" s="32" t="s">
        <v>64</v>
      </c>
      <c r="C24" s="33" t="s">
        <v>30</v>
      </c>
      <c r="D24" s="32" t="s">
        <v>65</v>
      </c>
      <c r="E24" s="33" t="s">
        <v>30</v>
      </c>
      <c r="F24" s="32" t="s">
        <v>66</v>
      </c>
      <c r="G24" s="33" t="s">
        <v>30</v>
      </c>
    </row>
    <row r="25" spans="2:7" ht="14.25" customHeight="1" x14ac:dyDescent="0.3">
      <c r="B25" s="32" t="s">
        <v>67</v>
      </c>
      <c r="C25" s="33" t="s">
        <v>30</v>
      </c>
      <c r="D25" s="32" t="s">
        <v>68</v>
      </c>
      <c r="E25" s="33" t="s">
        <v>30</v>
      </c>
      <c r="F25" s="34"/>
      <c r="G25" s="34"/>
    </row>
    <row r="26" spans="2:7" ht="15" customHeight="1" x14ac:dyDescent="0.3">
      <c r="B26" s="137" t="s">
        <v>69</v>
      </c>
      <c r="C26" s="108"/>
      <c r="D26" s="108"/>
      <c r="E26" s="108"/>
      <c r="F26" s="108"/>
      <c r="G26" s="108"/>
    </row>
    <row r="27" spans="2:7" ht="14.25" customHeight="1" x14ac:dyDescent="0.3">
      <c r="B27" s="32" t="s">
        <v>70</v>
      </c>
      <c r="C27" s="33" t="s">
        <v>30</v>
      </c>
      <c r="D27" s="32" t="s">
        <v>71</v>
      </c>
      <c r="E27" s="33" t="s">
        <v>30</v>
      </c>
      <c r="F27" s="32" t="s">
        <v>72</v>
      </c>
      <c r="G27" s="33" t="s">
        <v>30</v>
      </c>
    </row>
    <row r="28" spans="2:7" ht="14.25" customHeight="1" x14ac:dyDescent="0.3">
      <c r="B28" s="32" t="s">
        <v>73</v>
      </c>
      <c r="C28" s="33" t="s">
        <v>30</v>
      </c>
      <c r="D28" s="32" t="s">
        <v>74</v>
      </c>
      <c r="E28" s="33" t="s">
        <v>30</v>
      </c>
      <c r="F28" s="32" t="s">
        <v>75</v>
      </c>
      <c r="G28" s="33" t="s">
        <v>30</v>
      </c>
    </row>
    <row r="29" spans="2:7" ht="14.25" customHeight="1" x14ac:dyDescent="0.3">
      <c r="B29" s="32" t="s">
        <v>76</v>
      </c>
      <c r="C29" s="33" t="s">
        <v>30</v>
      </c>
      <c r="D29" s="32" t="s">
        <v>77</v>
      </c>
      <c r="E29" s="33" t="s">
        <v>30</v>
      </c>
      <c r="F29" s="32" t="s">
        <v>78</v>
      </c>
      <c r="G29" s="33" t="s">
        <v>30</v>
      </c>
    </row>
    <row r="30" spans="2:7" ht="14.25" customHeight="1" x14ac:dyDescent="0.3">
      <c r="B30" s="32" t="s">
        <v>79</v>
      </c>
      <c r="C30" s="33" t="s">
        <v>30</v>
      </c>
      <c r="D30" s="32" t="s">
        <v>80</v>
      </c>
      <c r="E30" s="33" t="s">
        <v>30</v>
      </c>
      <c r="F30" s="32" t="s">
        <v>81</v>
      </c>
      <c r="G30" s="33" t="s">
        <v>30</v>
      </c>
    </row>
    <row r="31" spans="2:7" ht="14.25" customHeight="1" x14ac:dyDescent="0.3">
      <c r="B31" s="32" t="s">
        <v>82</v>
      </c>
      <c r="C31" s="33" t="s">
        <v>30</v>
      </c>
      <c r="D31" s="32" t="s">
        <v>83</v>
      </c>
      <c r="E31" s="33" t="s">
        <v>30</v>
      </c>
      <c r="F31" s="32" t="s">
        <v>84</v>
      </c>
      <c r="G31" s="33" t="s">
        <v>30</v>
      </c>
    </row>
    <row r="32" spans="2:7" ht="14.25" customHeight="1" x14ac:dyDescent="0.3">
      <c r="B32" s="32" t="s">
        <v>85</v>
      </c>
      <c r="C32" s="33" t="s">
        <v>30</v>
      </c>
      <c r="D32" s="32" t="s">
        <v>86</v>
      </c>
      <c r="E32" s="33" t="s">
        <v>30</v>
      </c>
      <c r="F32" s="32" t="s">
        <v>87</v>
      </c>
      <c r="G32" s="33" t="s">
        <v>30</v>
      </c>
    </row>
    <row r="33" spans="2:7" ht="14.25" customHeight="1" x14ac:dyDescent="0.3">
      <c r="B33" s="32" t="s">
        <v>88</v>
      </c>
      <c r="C33" s="33" t="s">
        <v>30</v>
      </c>
      <c r="D33" s="32" t="s">
        <v>89</v>
      </c>
      <c r="E33" s="33" t="s">
        <v>30</v>
      </c>
      <c r="F33" s="32" t="s">
        <v>90</v>
      </c>
      <c r="G33" s="33" t="s">
        <v>30</v>
      </c>
    </row>
    <row r="34" spans="2:7" ht="14.25" customHeight="1" x14ac:dyDescent="0.3">
      <c r="B34" s="32" t="s">
        <v>91</v>
      </c>
      <c r="C34" s="33" t="s">
        <v>30</v>
      </c>
      <c r="D34" s="32" t="s">
        <v>92</v>
      </c>
      <c r="E34" s="33" t="s">
        <v>30</v>
      </c>
      <c r="F34" s="32" t="s">
        <v>93</v>
      </c>
      <c r="G34" s="33" t="s">
        <v>30</v>
      </c>
    </row>
    <row r="35" spans="2:7" ht="15" customHeight="1" x14ac:dyDescent="0.3">
      <c r="B35" s="137" t="s">
        <v>94</v>
      </c>
      <c r="C35" s="108"/>
      <c r="D35" s="108"/>
      <c r="E35" s="108"/>
      <c r="F35" s="108"/>
      <c r="G35" s="108"/>
    </row>
    <row r="36" spans="2:7" ht="14.25" customHeight="1" x14ac:dyDescent="0.3">
      <c r="B36" s="32" t="s">
        <v>95</v>
      </c>
      <c r="C36" s="33" t="s">
        <v>30</v>
      </c>
      <c r="D36" s="32" t="s">
        <v>96</v>
      </c>
      <c r="E36" s="33" t="s">
        <v>30</v>
      </c>
      <c r="F36" s="32" t="s">
        <v>97</v>
      </c>
      <c r="G36" s="33" t="s">
        <v>30</v>
      </c>
    </row>
    <row r="37" spans="2:7" ht="14.25" customHeight="1" x14ac:dyDescent="0.3">
      <c r="B37" s="32" t="s">
        <v>98</v>
      </c>
      <c r="C37" s="33" t="s">
        <v>30</v>
      </c>
      <c r="D37" s="34"/>
      <c r="E37" s="34"/>
      <c r="F37" s="34"/>
      <c r="G37" s="34"/>
    </row>
    <row r="38" spans="2:7" ht="15" customHeight="1" x14ac:dyDescent="0.3">
      <c r="B38" s="137" t="s">
        <v>99</v>
      </c>
      <c r="C38" s="108"/>
      <c r="D38" s="108"/>
      <c r="E38" s="108"/>
      <c r="F38" s="108"/>
      <c r="G38" s="108"/>
    </row>
    <row r="39" spans="2:7" ht="14.25" customHeight="1" x14ac:dyDescent="0.3">
      <c r="B39" s="32" t="s">
        <v>100</v>
      </c>
      <c r="C39" s="33" t="s">
        <v>30</v>
      </c>
      <c r="D39" s="32" t="s">
        <v>101</v>
      </c>
      <c r="E39" s="33" t="s">
        <v>30</v>
      </c>
      <c r="F39" s="32" t="s">
        <v>102</v>
      </c>
      <c r="G39" s="33" t="s">
        <v>30</v>
      </c>
    </row>
    <row r="40" spans="2:7" ht="14.25" customHeight="1" x14ac:dyDescent="0.3">
      <c r="B40" s="32" t="s">
        <v>103</v>
      </c>
      <c r="C40" s="33" t="s">
        <v>30</v>
      </c>
      <c r="D40" s="32" t="s">
        <v>104</v>
      </c>
      <c r="E40" s="33" t="s">
        <v>30</v>
      </c>
      <c r="F40" s="32" t="s">
        <v>105</v>
      </c>
      <c r="G40" s="33" t="s">
        <v>30</v>
      </c>
    </row>
    <row r="41" spans="2:7" ht="14.25" customHeight="1" x14ac:dyDescent="0.3">
      <c r="B41" s="32" t="s">
        <v>106</v>
      </c>
      <c r="C41" s="33" t="s">
        <v>30</v>
      </c>
      <c r="D41" s="32" t="s">
        <v>107</v>
      </c>
      <c r="E41" s="33" t="s">
        <v>30</v>
      </c>
      <c r="F41" s="32" t="s">
        <v>108</v>
      </c>
      <c r="G41" s="33" t="s">
        <v>30</v>
      </c>
    </row>
    <row r="42" spans="2:7" ht="129.6" customHeight="1" x14ac:dyDescent="0.3"/>
    <row r="43" spans="2:7" ht="15" customHeight="1" x14ac:dyDescent="0.3">
      <c r="B43" s="134" t="s">
        <v>109</v>
      </c>
      <c r="C43" s="135"/>
      <c r="D43" s="135"/>
      <c r="E43" s="135"/>
      <c r="F43" s="135"/>
      <c r="G43" s="135"/>
    </row>
    <row r="44" spans="2:7" ht="14.25" customHeight="1" x14ac:dyDescent="0.3">
      <c r="B44" s="35">
        <f>IF(Estimate!B31="","",1)</f>
        <v>1</v>
      </c>
      <c r="C44" s="133" t="str">
        <f>IF(Estimate!B31="","",Estimate!B31)</f>
        <v>Fog Lamp Blub LHS</v>
      </c>
      <c r="D44" s="131"/>
      <c r="E44" s="131"/>
      <c r="F44" s="131"/>
      <c r="G44" s="129"/>
    </row>
    <row r="45" spans="2:7" ht="14.25" customHeight="1" x14ac:dyDescent="0.3">
      <c r="B45" s="35" t="e">
        <f>IF(Estimate!#REF!="","",2)</f>
        <v>#REF!</v>
      </c>
      <c r="C45" s="133" t="e">
        <f>IF(Estimate!#REF!="","",Estimate!#REF!)</f>
        <v>#REF!</v>
      </c>
      <c r="D45" s="131"/>
      <c r="E45" s="131"/>
      <c r="F45" s="131"/>
      <c r="G45" s="129"/>
    </row>
    <row r="46" spans="2:7" ht="14.25" customHeight="1" x14ac:dyDescent="0.3">
      <c r="B46" s="35">
        <f>IF(Estimate!B32="","",3)</f>
        <v>3</v>
      </c>
      <c r="C46" s="133" t="str">
        <f>IF(Estimate!B32="","",Estimate!B32)</f>
        <v>Wiper Blade Set</v>
      </c>
      <c r="D46" s="131"/>
      <c r="E46" s="131"/>
      <c r="F46" s="131"/>
      <c r="G46" s="129"/>
    </row>
    <row r="47" spans="2:7" ht="14.25" customHeight="1" x14ac:dyDescent="0.3">
      <c r="B47" s="35" t="e">
        <f>IF(Estimate!#REF!="","",4)</f>
        <v>#REF!</v>
      </c>
      <c r="C47" s="133" t="e">
        <f>IF(Estimate!#REF!="","",Estimate!#REF!)</f>
        <v>#REF!</v>
      </c>
      <c r="D47" s="131"/>
      <c r="E47" s="131"/>
      <c r="F47" s="131"/>
      <c r="G47" s="129"/>
    </row>
    <row r="48" spans="2:7" ht="14.25" customHeight="1" x14ac:dyDescent="0.3">
      <c r="B48" s="35" t="e">
        <f>IF(Estimate!#REF!="","",5)</f>
        <v>#REF!</v>
      </c>
      <c r="C48" s="133" t="e">
        <f>IF(Estimate!#REF!="","",Estimate!#REF!)</f>
        <v>#REF!</v>
      </c>
      <c r="D48" s="131"/>
      <c r="E48" s="131"/>
      <c r="F48" s="131"/>
      <c r="G48" s="129"/>
    </row>
    <row r="49" spans="2:7" ht="14.25" customHeight="1" x14ac:dyDescent="0.3">
      <c r="B49" s="35" t="e">
        <f>IF(Estimate!#REF!="","",6)</f>
        <v>#REF!</v>
      </c>
      <c r="C49" s="133" t="e">
        <f>IF(Estimate!#REF!="","",Estimate!#REF!)</f>
        <v>#REF!</v>
      </c>
      <c r="D49" s="131"/>
      <c r="E49" s="131"/>
      <c r="F49" s="131"/>
      <c r="G49" s="129"/>
    </row>
    <row r="50" spans="2:7" ht="14.25" customHeight="1" x14ac:dyDescent="0.3">
      <c r="B50" s="35" t="e">
        <f>IF(Estimate!#REF!="","",7)</f>
        <v>#REF!</v>
      </c>
      <c r="C50" s="133" t="e">
        <f>IF(Estimate!#REF!="","",Estimate!#REF!)</f>
        <v>#REF!</v>
      </c>
      <c r="D50" s="131"/>
      <c r="E50" s="131"/>
      <c r="F50" s="131"/>
      <c r="G50" s="129"/>
    </row>
    <row r="51" spans="2:7" ht="14.25" customHeight="1" x14ac:dyDescent="0.3">
      <c r="B51" s="35" t="e">
        <f>IF(Estimate!#REF!="","",8)</f>
        <v>#REF!</v>
      </c>
      <c r="C51" s="133" t="e">
        <f>IF(Estimate!#REF!="","",Estimate!#REF!)</f>
        <v>#REF!</v>
      </c>
      <c r="D51" s="131"/>
      <c r="E51" s="131"/>
      <c r="F51" s="131"/>
      <c r="G51" s="129"/>
    </row>
    <row r="52" spans="2:7" ht="14.25" customHeight="1" x14ac:dyDescent="0.3">
      <c r="B52" s="35">
        <f>IF(Estimate!B33="","",9)</f>
        <v>9</v>
      </c>
      <c r="C52" s="133" t="e">
        <f>IF(Estimate!#REF!="","",Estimate!#REF!)</f>
        <v>#REF!</v>
      </c>
      <c r="D52" s="131"/>
      <c r="E52" s="131"/>
      <c r="F52" s="131"/>
      <c r="G52" s="129"/>
    </row>
    <row r="53" spans="2:7" ht="14.25" customHeight="1" x14ac:dyDescent="0.3">
      <c r="B53" s="35">
        <f>IF(Estimate!B33="","",10)</f>
        <v>10</v>
      </c>
      <c r="C53" s="133" t="str">
        <f>IF(Estimate!B33="","",Estimate!B33)</f>
        <v>Throttle Body Service</v>
      </c>
      <c r="D53" s="131"/>
      <c r="E53" s="131"/>
      <c r="F53" s="131"/>
      <c r="G53" s="129"/>
    </row>
    <row r="54" spans="2:7" ht="14.25" customHeight="1" x14ac:dyDescent="0.3">
      <c r="B54" s="35" t="str">
        <f>IF(Estimate!B34="","",11)</f>
        <v/>
      </c>
      <c r="C54" s="133" t="str">
        <f>IF(Estimate!B34="","",Estimate!B34)</f>
        <v/>
      </c>
      <c r="D54" s="131"/>
      <c r="E54" s="131"/>
      <c r="F54" s="131"/>
      <c r="G54" s="129"/>
    </row>
    <row r="55" spans="2:7" ht="14.25" customHeight="1" x14ac:dyDescent="0.3">
      <c r="B55" s="35" t="str">
        <f>IF(Estimate!B35="","",12)</f>
        <v/>
      </c>
      <c r="C55" s="133" t="str">
        <f>IF(Estimate!B35="","",Estimate!B35)</f>
        <v/>
      </c>
      <c r="D55" s="131"/>
      <c r="E55" s="131"/>
      <c r="F55" s="131"/>
      <c r="G55" s="129"/>
    </row>
    <row r="56" spans="2:7" ht="14.25" customHeight="1" x14ac:dyDescent="0.3">
      <c r="B56" s="35" t="str">
        <f>IF(Estimate!B36="","",13)</f>
        <v/>
      </c>
      <c r="C56" s="133" t="str">
        <f>IF(Estimate!B36="","",Estimate!B36)</f>
        <v/>
      </c>
      <c r="D56" s="131"/>
      <c r="E56" s="131"/>
      <c r="F56" s="131"/>
      <c r="G56" s="129"/>
    </row>
    <row r="57" spans="2:7" ht="14.25" customHeight="1" x14ac:dyDescent="0.3">
      <c r="B57" s="35" t="str">
        <f>IF(Estimate!B37="","",14)</f>
        <v/>
      </c>
      <c r="C57" s="133" t="str">
        <f>IF(Estimate!B37="","",Estimate!B37)</f>
        <v/>
      </c>
      <c r="D57" s="131"/>
      <c r="E57" s="131"/>
      <c r="F57" s="131"/>
      <c r="G57" s="129"/>
    </row>
    <row r="58" spans="2:7" ht="14.25" customHeight="1" x14ac:dyDescent="0.3">
      <c r="B58" s="35" t="str">
        <f>IF(Estimate!B38="","",15)</f>
        <v/>
      </c>
      <c r="C58" s="133" t="str">
        <f>IF(Estimate!B38="","",Estimate!B38)</f>
        <v/>
      </c>
      <c r="D58" s="131"/>
      <c r="E58" s="131"/>
      <c r="F58" s="131"/>
      <c r="G58" s="129"/>
    </row>
    <row r="59" spans="2:7" ht="14.4" customHeight="1" x14ac:dyDescent="0.3"/>
    <row r="60" spans="2:7" ht="15" customHeight="1" x14ac:dyDescent="0.3">
      <c r="B60" s="146" t="s">
        <v>110</v>
      </c>
      <c r="C60" s="135"/>
      <c r="D60" s="135"/>
      <c r="E60" s="135"/>
      <c r="F60" s="135"/>
      <c r="G60" s="135"/>
    </row>
    <row r="61" spans="2:7" ht="15" customHeight="1" x14ac:dyDescent="0.3">
      <c r="B61" s="3" t="s">
        <v>111</v>
      </c>
      <c r="C61" s="141" t="s">
        <v>112</v>
      </c>
      <c r="D61" s="131"/>
      <c r="E61" s="129"/>
      <c r="F61" s="128" t="s">
        <v>113</v>
      </c>
      <c r="G61" s="129"/>
    </row>
    <row r="62" spans="2:7" ht="14.25" customHeight="1" x14ac:dyDescent="0.3">
      <c r="B62" s="35">
        <v>1</v>
      </c>
      <c r="C62" s="130" t="s">
        <v>351</v>
      </c>
      <c r="D62" s="131"/>
      <c r="E62" s="129"/>
      <c r="F62" s="140" t="s">
        <v>356</v>
      </c>
      <c r="G62" s="129"/>
    </row>
    <row r="63" spans="2:7" ht="14.25" customHeight="1" x14ac:dyDescent="0.3">
      <c r="B63" s="35">
        <v>2</v>
      </c>
      <c r="C63" s="130" t="s">
        <v>352</v>
      </c>
      <c r="D63" s="131"/>
      <c r="E63" s="129"/>
      <c r="F63" s="140" t="s">
        <v>355</v>
      </c>
      <c r="G63" s="129"/>
    </row>
    <row r="64" spans="2:7" ht="14.25" customHeight="1" x14ac:dyDescent="0.3">
      <c r="B64" s="35">
        <v>3</v>
      </c>
      <c r="C64" s="130" t="s">
        <v>353</v>
      </c>
      <c r="D64" s="131"/>
      <c r="E64" s="129"/>
      <c r="F64" s="140" t="s">
        <v>355</v>
      </c>
      <c r="G64" s="129"/>
    </row>
    <row r="65" spans="2:7" ht="14.25" customHeight="1" x14ac:dyDescent="0.3">
      <c r="B65" s="35">
        <v>4</v>
      </c>
      <c r="C65" s="130" t="s">
        <v>354</v>
      </c>
      <c r="D65" s="131"/>
      <c r="E65" s="129"/>
      <c r="F65" s="140" t="s">
        <v>355</v>
      </c>
      <c r="G65" s="129"/>
    </row>
    <row r="66" spans="2:7" ht="14.25" customHeight="1" x14ac:dyDescent="0.3">
      <c r="B66" s="35">
        <v>5</v>
      </c>
      <c r="C66" s="130" t="s">
        <v>357</v>
      </c>
      <c r="D66" s="131"/>
      <c r="E66" s="129"/>
      <c r="F66" s="140" t="s">
        <v>355</v>
      </c>
      <c r="G66" s="129"/>
    </row>
    <row r="67" spans="2:7" ht="14.25" customHeight="1" x14ac:dyDescent="0.3">
      <c r="B67" s="35">
        <v>6</v>
      </c>
      <c r="C67" s="130"/>
      <c r="D67" s="131"/>
      <c r="E67" s="129"/>
      <c r="F67" s="140"/>
      <c r="G67" s="129"/>
    </row>
    <row r="68" spans="2:7" ht="14.25" customHeight="1" x14ac:dyDescent="0.3">
      <c r="B68" s="35">
        <v>7</v>
      </c>
      <c r="C68" s="130"/>
      <c r="D68" s="131"/>
      <c r="E68" s="129"/>
      <c r="F68" s="140"/>
      <c r="G68" s="129"/>
    </row>
    <row r="69" spans="2:7" ht="14.25" customHeight="1" x14ac:dyDescent="0.3">
      <c r="B69" s="35">
        <v>8</v>
      </c>
      <c r="C69" s="130"/>
      <c r="D69" s="131"/>
      <c r="E69" s="129"/>
      <c r="F69" s="140"/>
      <c r="G69" s="129"/>
    </row>
    <row r="70" spans="2:7" ht="14.25" customHeight="1" x14ac:dyDescent="0.3">
      <c r="B70" s="35">
        <v>9</v>
      </c>
      <c r="C70" s="130"/>
      <c r="D70" s="131"/>
      <c r="E70" s="129"/>
      <c r="F70" s="140"/>
      <c r="G70" s="129"/>
    </row>
    <row r="71" spans="2:7" ht="14.25" customHeight="1" x14ac:dyDescent="0.3">
      <c r="B71" s="35">
        <v>10</v>
      </c>
      <c r="C71" s="130"/>
      <c r="D71" s="131"/>
      <c r="E71" s="129"/>
      <c r="F71" s="140"/>
      <c r="G71" s="129"/>
    </row>
    <row r="72" spans="2:7" ht="15" customHeight="1" x14ac:dyDescent="0.3">
      <c r="B72" s="145" t="s">
        <v>114</v>
      </c>
      <c r="C72" s="129"/>
      <c r="D72" s="143" t="str">
        <f ca="1">IFERROR(_xlfn.TEXTJOIN(";  ",TRUE(),C62:C68),"")</f>
        <v/>
      </c>
      <c r="E72" s="131"/>
      <c r="F72" s="131"/>
      <c r="G72" s="129"/>
    </row>
    <row r="73" spans="2:7" ht="14.4" customHeight="1" x14ac:dyDescent="0.3"/>
    <row r="74" spans="2:7" ht="18.75" customHeight="1" x14ac:dyDescent="0.3">
      <c r="B74" s="88" t="s">
        <v>115</v>
      </c>
      <c r="C74" s="87"/>
      <c r="D74" s="87"/>
      <c r="E74" s="87"/>
      <c r="F74" s="87"/>
      <c r="G74" s="87"/>
    </row>
    <row r="75" spans="2:7" ht="14.4" customHeight="1" x14ac:dyDescent="0.3"/>
    <row r="76" spans="2:7" ht="23.25" customHeight="1" x14ac:dyDescent="0.3">
      <c r="B76" s="142" t="s">
        <v>116</v>
      </c>
      <c r="C76" s="87"/>
      <c r="D76" s="87"/>
      <c r="E76" s="142" t="s">
        <v>117</v>
      </c>
      <c r="F76" s="87"/>
      <c r="G76" s="87"/>
    </row>
    <row r="91" spans="3:3" ht="14.25" customHeight="1" x14ac:dyDescent="0.3">
      <c r="C91" t="s">
        <v>350</v>
      </c>
    </row>
  </sheetData>
  <mergeCells count="60">
    <mergeCell ref="B2:G2"/>
    <mergeCell ref="C49:G49"/>
    <mergeCell ref="F69:G69"/>
    <mergeCell ref="B72:C72"/>
    <mergeCell ref="B60:G60"/>
    <mergeCell ref="B8:D8"/>
    <mergeCell ref="C58:G58"/>
    <mergeCell ref="F63:G63"/>
    <mergeCell ref="F65:G65"/>
    <mergeCell ref="F68:G68"/>
    <mergeCell ref="E9:G9"/>
    <mergeCell ref="C45:G45"/>
    <mergeCell ref="E6:G6"/>
    <mergeCell ref="B38:G38"/>
    <mergeCell ref="C71:E71"/>
    <mergeCell ref="C47:G47"/>
    <mergeCell ref="E76:G76"/>
    <mergeCell ref="B20:G20"/>
    <mergeCell ref="C66:E66"/>
    <mergeCell ref="F62:G62"/>
    <mergeCell ref="B76:D76"/>
    <mergeCell ref="C46:G46"/>
    <mergeCell ref="C51:G51"/>
    <mergeCell ref="C69:E69"/>
    <mergeCell ref="B35:G35"/>
    <mergeCell ref="F71:G71"/>
    <mergeCell ref="D72:G72"/>
    <mergeCell ref="C70:E70"/>
    <mergeCell ref="C55:G55"/>
    <mergeCell ref="B74:G74"/>
    <mergeCell ref="F70:G70"/>
    <mergeCell ref="C54:G54"/>
    <mergeCell ref="C68:E68"/>
    <mergeCell ref="B7:D7"/>
    <mergeCell ref="C52:G52"/>
    <mergeCell ref="F64:G64"/>
    <mergeCell ref="C48:G48"/>
    <mergeCell ref="F67:G67"/>
    <mergeCell ref="C62:E62"/>
    <mergeCell ref="C64:E64"/>
    <mergeCell ref="C65:E65"/>
    <mergeCell ref="F66:G66"/>
    <mergeCell ref="C67:E67"/>
    <mergeCell ref="C56:G56"/>
    <mergeCell ref="E7:G7"/>
    <mergeCell ref="C61:E61"/>
    <mergeCell ref="C50:G50"/>
    <mergeCell ref="C44:G44"/>
    <mergeCell ref="B3:G3"/>
    <mergeCell ref="F61:G61"/>
    <mergeCell ref="C63:E63"/>
    <mergeCell ref="E8:G8"/>
    <mergeCell ref="C57:G57"/>
    <mergeCell ref="B43:G43"/>
    <mergeCell ref="C53:G53"/>
    <mergeCell ref="B11:G11"/>
    <mergeCell ref="B4:G4"/>
    <mergeCell ref="B26:G26"/>
    <mergeCell ref="B6:D6"/>
    <mergeCell ref="B9:D9"/>
  </mergeCells>
  <dataValidations count="1">
    <dataValidation type="list" allowBlank="1" sqref="F62:F71">
      <formula1>"Minor,Medium,Major"</formula1>
      <formula2>0</formula2>
    </dataValidation>
  </dataValidations>
  <pageMargins left="0.3" right="0.3" top="0.4" bottom="0.4" header="0.511811023622047" footer="0.511811023622047"/>
  <pageSetup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81"/>
  <sheetViews>
    <sheetView showGridLines="0" topLeftCell="A34" zoomScaleNormal="100" workbookViewId="0">
      <selection activeCell="C74" sqref="C74:E74"/>
    </sheetView>
  </sheetViews>
  <sheetFormatPr defaultColWidth="8.5546875" defaultRowHeight="14.25" customHeight="1" x14ac:dyDescent="0.3"/>
  <cols>
    <col min="1" max="1" width="4.88671875" customWidth="1"/>
    <col min="2" max="2" width="27" customWidth="1"/>
    <col min="3" max="3" width="3.44140625" customWidth="1"/>
    <col min="4" max="4" width="27" customWidth="1"/>
    <col min="5" max="5" width="3.44140625" customWidth="1"/>
    <col min="6" max="6" width="27" customWidth="1"/>
    <col min="7" max="7" width="3.44140625" customWidth="1"/>
  </cols>
  <sheetData>
    <row r="1" spans="2:7" ht="14.25" customHeight="1" x14ac:dyDescent="0.3">
      <c r="B1" s="26"/>
      <c r="C1" s="27"/>
      <c r="D1" s="27"/>
      <c r="E1" s="27"/>
      <c r="F1" s="27"/>
      <c r="G1" s="28"/>
    </row>
    <row r="2" spans="2:7" ht="25.5" customHeight="1" x14ac:dyDescent="0.3">
      <c r="B2" s="144" t="s">
        <v>0</v>
      </c>
      <c r="C2" s="87"/>
      <c r="D2" s="87"/>
      <c r="E2" s="87"/>
      <c r="F2" s="87"/>
      <c r="G2" s="110"/>
    </row>
    <row r="3" spans="2:7" ht="14.25" customHeight="1" x14ac:dyDescent="0.3">
      <c r="B3" s="117" t="s">
        <v>118</v>
      </c>
      <c r="C3" s="87"/>
      <c r="D3" s="87"/>
      <c r="E3" s="87"/>
      <c r="F3" s="87"/>
      <c r="G3" s="110"/>
    </row>
    <row r="4" spans="2:7" ht="14.25" customHeight="1" x14ac:dyDescent="0.3">
      <c r="B4" s="111" t="s">
        <v>2</v>
      </c>
      <c r="C4" s="112"/>
      <c r="D4" s="112"/>
      <c r="E4" s="112"/>
      <c r="F4" s="112"/>
      <c r="G4" s="113"/>
    </row>
    <row r="5" spans="2:7" ht="1.5" customHeight="1" x14ac:dyDescent="0.3"/>
    <row r="6" spans="2:7" ht="16.5" customHeight="1" x14ac:dyDescent="0.3">
      <c r="B6" s="138" t="str">
        <f>"EA Elite  Service Report"</f>
        <v>EA Elite  Service Report</v>
      </c>
      <c r="C6" s="139"/>
      <c r="D6" s="139"/>
      <c r="E6" s="148" t="str">
        <f ca="1">"Date:   "&amp;TEXT(EST_DATE,"dd-mmm-yyyy")</f>
        <v>Date:   07-Oct-2026</v>
      </c>
      <c r="F6" s="87"/>
      <c r="G6" s="87"/>
    </row>
    <row r="7" spans="2:7" ht="14.25" customHeight="1" x14ac:dyDescent="0.3">
      <c r="B7" s="132" t="str">
        <f>Estimate!B7</f>
        <v>Customer Name: Pranav Shroff</v>
      </c>
      <c r="C7" s="115"/>
      <c r="D7" s="116"/>
      <c r="E7" s="132"/>
      <c r="F7" s="115"/>
      <c r="G7" s="116"/>
    </row>
    <row r="8" spans="2:7" ht="14.25" customHeight="1" x14ac:dyDescent="0.3">
      <c r="B8" s="132" t="str">
        <f>Estimate!B8</f>
        <v>Car Model: Hyundai Xcent</v>
      </c>
      <c r="C8" s="115"/>
      <c r="D8" s="116"/>
      <c r="E8" s="132" t="str">
        <f>Estimate!C8</f>
        <v>KMs: 56518</v>
      </c>
      <c r="F8" s="115"/>
      <c r="G8" s="116"/>
    </row>
    <row r="9" spans="2:7" ht="14.25" customHeight="1" x14ac:dyDescent="0.3">
      <c r="B9" s="132" t="str">
        <f>Estimate!B9</f>
        <v>Regn No:MH05DS4417</v>
      </c>
      <c r="C9" s="115"/>
      <c r="D9" s="116"/>
      <c r="E9" s="147"/>
      <c r="F9" s="115"/>
      <c r="G9" s="116"/>
    </row>
    <row r="10" spans="2:7" ht="14.4" customHeight="1" x14ac:dyDescent="0.3"/>
    <row r="11" spans="2:7" ht="15" customHeight="1" x14ac:dyDescent="0.3">
      <c r="B11" s="137" t="s">
        <v>28</v>
      </c>
      <c r="C11" s="108"/>
      <c r="D11" s="108"/>
      <c r="E11" s="108"/>
      <c r="F11" s="108"/>
      <c r="G11" s="108"/>
    </row>
    <row r="12" spans="2:7" ht="14.25" customHeight="1" x14ac:dyDescent="0.3">
      <c r="B12" s="32" t="s">
        <v>29</v>
      </c>
      <c r="C12" s="33" t="s">
        <v>30</v>
      </c>
      <c r="D12" s="32" t="s">
        <v>31</v>
      </c>
      <c r="E12" s="33" t="s">
        <v>30</v>
      </c>
      <c r="F12" s="32" t="s">
        <v>32</v>
      </c>
      <c r="G12" s="33" t="s">
        <v>30</v>
      </c>
    </row>
    <row r="13" spans="2:7" ht="14.25" customHeight="1" x14ac:dyDescent="0.3">
      <c r="B13" s="32" t="s">
        <v>33</v>
      </c>
      <c r="C13" s="33" t="s">
        <v>30</v>
      </c>
      <c r="D13" s="32" t="s">
        <v>34</v>
      </c>
      <c r="E13" s="33" t="s">
        <v>30</v>
      </c>
      <c r="F13" s="32" t="s">
        <v>35</v>
      </c>
      <c r="G13" s="33" t="s">
        <v>30</v>
      </c>
    </row>
    <row r="14" spans="2:7" ht="19.5" customHeight="1" x14ac:dyDescent="0.3">
      <c r="B14" s="32" t="s">
        <v>36</v>
      </c>
      <c r="C14" s="33" t="s">
        <v>30</v>
      </c>
      <c r="D14" s="32" t="s">
        <v>37</v>
      </c>
      <c r="E14" s="63" t="s">
        <v>30</v>
      </c>
      <c r="F14" s="32" t="s">
        <v>38</v>
      </c>
      <c r="G14" s="63" t="s">
        <v>30</v>
      </c>
    </row>
    <row r="15" spans="2:7" ht="19.5" customHeight="1" x14ac:dyDescent="0.3">
      <c r="B15" s="32" t="s">
        <v>39</v>
      </c>
      <c r="C15" s="33" t="s">
        <v>30</v>
      </c>
      <c r="D15" s="32" t="s">
        <v>40</v>
      </c>
      <c r="E15" s="33" t="s">
        <v>30</v>
      </c>
      <c r="F15" s="32" t="s">
        <v>41</v>
      </c>
      <c r="G15" s="63" t="s">
        <v>30</v>
      </c>
    </row>
    <row r="16" spans="2:7" ht="14.25" customHeight="1" x14ac:dyDescent="0.3">
      <c r="B16" s="32" t="s">
        <v>42</v>
      </c>
      <c r="C16" s="63" t="s">
        <v>30</v>
      </c>
      <c r="D16" s="32" t="s">
        <v>43</v>
      </c>
      <c r="E16" s="33" t="s">
        <v>30</v>
      </c>
      <c r="F16" s="32" t="s">
        <v>44</v>
      </c>
      <c r="G16" s="33" t="s">
        <v>30</v>
      </c>
    </row>
    <row r="17" spans="2:7" ht="14.25" customHeight="1" x14ac:dyDescent="0.3">
      <c r="B17" s="32" t="s">
        <v>45</v>
      </c>
      <c r="C17" s="33" t="s">
        <v>30</v>
      </c>
      <c r="D17" s="32" t="s">
        <v>46</v>
      </c>
      <c r="E17" s="33" t="s">
        <v>30</v>
      </c>
      <c r="F17" s="32" t="s">
        <v>47</v>
      </c>
      <c r="G17" s="33" t="s">
        <v>30</v>
      </c>
    </row>
    <row r="18" spans="2:7" ht="14.25" customHeight="1" x14ac:dyDescent="0.3">
      <c r="B18" s="32" t="s">
        <v>48</v>
      </c>
      <c r="C18" s="33" t="s">
        <v>30</v>
      </c>
      <c r="D18" s="32" t="s">
        <v>49</v>
      </c>
      <c r="E18" s="33" t="s">
        <v>30</v>
      </c>
      <c r="F18" s="32" t="s">
        <v>50</v>
      </c>
      <c r="G18" s="33" t="s">
        <v>30</v>
      </c>
    </row>
    <row r="19" spans="2:7" ht="14.25" customHeight="1" x14ac:dyDescent="0.3">
      <c r="B19" s="32" t="s">
        <v>51</v>
      </c>
      <c r="C19" s="33" t="s">
        <v>30</v>
      </c>
      <c r="D19" s="32" t="s">
        <v>52</v>
      </c>
      <c r="E19" s="33" t="s">
        <v>30</v>
      </c>
      <c r="F19" s="32" t="s">
        <v>53</v>
      </c>
      <c r="G19" s="33" t="s">
        <v>30</v>
      </c>
    </row>
    <row r="20" spans="2:7" ht="15" customHeight="1" x14ac:dyDescent="0.3">
      <c r="B20" s="137" t="s">
        <v>54</v>
      </c>
      <c r="C20" s="108"/>
      <c r="D20" s="108"/>
      <c r="E20" s="108"/>
      <c r="F20" s="108"/>
      <c r="G20" s="108"/>
    </row>
    <row r="21" spans="2:7" ht="14.25" customHeight="1" x14ac:dyDescent="0.3">
      <c r="B21" s="32" t="s">
        <v>55</v>
      </c>
      <c r="C21" s="33" t="s">
        <v>30</v>
      </c>
      <c r="D21" s="32" t="s">
        <v>56</v>
      </c>
      <c r="E21" s="33" t="s">
        <v>30</v>
      </c>
      <c r="F21" s="32" t="s">
        <v>57</v>
      </c>
      <c r="G21" s="33" t="s">
        <v>30</v>
      </c>
    </row>
    <row r="22" spans="2:7" ht="14.25" customHeight="1" x14ac:dyDescent="0.3">
      <c r="B22" s="32" t="s">
        <v>58</v>
      </c>
      <c r="C22" s="33" t="s">
        <v>30</v>
      </c>
      <c r="D22" s="32" t="s">
        <v>119</v>
      </c>
      <c r="E22" s="33" t="s">
        <v>30</v>
      </c>
      <c r="F22" s="32" t="s">
        <v>120</v>
      </c>
      <c r="G22" s="33" t="s">
        <v>30</v>
      </c>
    </row>
    <row r="23" spans="2:7" ht="14.25" customHeight="1" x14ac:dyDescent="0.3">
      <c r="B23" s="32" t="s">
        <v>121</v>
      </c>
      <c r="C23" s="33" t="s">
        <v>30</v>
      </c>
      <c r="D23" s="32" t="s">
        <v>122</v>
      </c>
      <c r="E23" s="33" t="s">
        <v>30</v>
      </c>
      <c r="F23" s="32" t="s">
        <v>123</v>
      </c>
      <c r="G23" s="33" t="s">
        <v>30</v>
      </c>
    </row>
    <row r="24" spans="2:7" ht="14.25" customHeight="1" x14ac:dyDescent="0.3">
      <c r="B24" s="32" t="s">
        <v>124</v>
      </c>
      <c r="C24" s="33" t="s">
        <v>30</v>
      </c>
      <c r="D24" s="32" t="s">
        <v>125</v>
      </c>
      <c r="E24" s="33" t="s">
        <v>30</v>
      </c>
      <c r="F24" s="32" t="s">
        <v>126</v>
      </c>
      <c r="G24" s="33" t="s">
        <v>30</v>
      </c>
    </row>
    <row r="25" spans="2:7" ht="14.25" customHeight="1" x14ac:dyDescent="0.3">
      <c r="B25" s="32" t="s">
        <v>67</v>
      </c>
      <c r="C25" s="33" t="s">
        <v>30</v>
      </c>
      <c r="D25" s="32" t="s">
        <v>68</v>
      </c>
      <c r="E25" s="33" t="s">
        <v>30</v>
      </c>
      <c r="F25" s="34"/>
      <c r="G25" s="34"/>
    </row>
    <row r="26" spans="2:7" ht="15" customHeight="1" x14ac:dyDescent="0.3">
      <c r="B26" s="137" t="s">
        <v>69</v>
      </c>
      <c r="C26" s="108"/>
      <c r="D26" s="108"/>
      <c r="E26" s="108"/>
      <c r="F26" s="108"/>
      <c r="G26" s="108"/>
    </row>
    <row r="27" spans="2:7" ht="14.25" customHeight="1" x14ac:dyDescent="0.3">
      <c r="B27" s="32" t="s">
        <v>70</v>
      </c>
      <c r="C27" s="33" t="s">
        <v>30</v>
      </c>
      <c r="D27" s="32" t="s">
        <v>71</v>
      </c>
      <c r="E27" s="33" t="s">
        <v>30</v>
      </c>
      <c r="F27" s="32" t="s">
        <v>72</v>
      </c>
      <c r="G27" s="33" t="s">
        <v>30</v>
      </c>
    </row>
    <row r="28" spans="2:7" ht="14.25" customHeight="1" x14ac:dyDescent="0.3">
      <c r="B28" s="32" t="s">
        <v>73</v>
      </c>
      <c r="C28" s="33" t="s">
        <v>30</v>
      </c>
      <c r="D28" s="32" t="s">
        <v>74</v>
      </c>
      <c r="E28" s="33" t="s">
        <v>30</v>
      </c>
      <c r="F28" s="32" t="s">
        <v>75</v>
      </c>
      <c r="G28" s="33" t="s">
        <v>30</v>
      </c>
    </row>
    <row r="29" spans="2:7" ht="14.25" customHeight="1" x14ac:dyDescent="0.3">
      <c r="B29" s="32" t="s">
        <v>76</v>
      </c>
      <c r="C29" s="33" t="s">
        <v>30</v>
      </c>
      <c r="D29" s="32" t="s">
        <v>77</v>
      </c>
      <c r="E29" s="33" t="s">
        <v>30</v>
      </c>
      <c r="F29" s="32" t="s">
        <v>78</v>
      </c>
      <c r="G29" s="33" t="s">
        <v>30</v>
      </c>
    </row>
    <row r="30" spans="2:7" ht="14.25" customHeight="1" x14ac:dyDescent="0.3">
      <c r="B30" s="32" t="s">
        <v>79</v>
      </c>
      <c r="C30" s="33" t="s">
        <v>30</v>
      </c>
      <c r="D30" s="32" t="s">
        <v>80</v>
      </c>
      <c r="E30" s="33" t="s">
        <v>30</v>
      </c>
      <c r="F30" s="32" t="s">
        <v>81</v>
      </c>
      <c r="G30" s="33" t="s">
        <v>30</v>
      </c>
    </row>
    <row r="31" spans="2:7" ht="14.25" customHeight="1" x14ac:dyDescent="0.3">
      <c r="B31" s="32" t="s">
        <v>82</v>
      </c>
      <c r="C31" s="33" t="s">
        <v>30</v>
      </c>
      <c r="D31" s="32" t="s">
        <v>83</v>
      </c>
      <c r="E31" s="33" t="s">
        <v>30</v>
      </c>
      <c r="F31" s="32" t="s">
        <v>84</v>
      </c>
      <c r="G31" s="33" t="s">
        <v>30</v>
      </c>
    </row>
    <row r="32" spans="2:7" ht="14.25" customHeight="1" x14ac:dyDescent="0.3">
      <c r="B32" s="32" t="s">
        <v>85</v>
      </c>
      <c r="C32" s="33" t="s">
        <v>30</v>
      </c>
      <c r="D32" s="32" t="s">
        <v>86</v>
      </c>
      <c r="E32" s="33" t="s">
        <v>30</v>
      </c>
      <c r="F32" s="32" t="s">
        <v>87</v>
      </c>
      <c r="G32" s="33" t="s">
        <v>30</v>
      </c>
    </row>
    <row r="33" spans="2:7" ht="14.25" customHeight="1" x14ac:dyDescent="0.3">
      <c r="B33" s="32" t="s">
        <v>88</v>
      </c>
      <c r="C33" s="33" t="s">
        <v>30</v>
      </c>
      <c r="D33" s="32" t="s">
        <v>89</v>
      </c>
      <c r="E33" s="33" t="s">
        <v>30</v>
      </c>
      <c r="F33" s="32" t="s">
        <v>90</v>
      </c>
      <c r="G33" s="33" t="s">
        <v>30</v>
      </c>
    </row>
    <row r="34" spans="2:7" ht="14.25" customHeight="1" x14ac:dyDescent="0.3">
      <c r="B34" s="32" t="s">
        <v>91</v>
      </c>
      <c r="C34" s="33" t="s">
        <v>30</v>
      </c>
      <c r="D34" s="32" t="s">
        <v>92</v>
      </c>
      <c r="E34" s="33" t="s">
        <v>30</v>
      </c>
      <c r="F34" s="32" t="s">
        <v>93</v>
      </c>
      <c r="G34" s="33" t="s">
        <v>30</v>
      </c>
    </row>
    <row r="35" spans="2:7" ht="15" customHeight="1" x14ac:dyDescent="0.3">
      <c r="B35" s="137" t="s">
        <v>127</v>
      </c>
      <c r="C35" s="108"/>
      <c r="D35" s="108"/>
      <c r="E35" s="108"/>
      <c r="F35" s="108"/>
      <c r="G35" s="108"/>
    </row>
    <row r="36" spans="2:7" ht="14.25" customHeight="1" x14ac:dyDescent="0.3">
      <c r="B36" s="32" t="s">
        <v>95</v>
      </c>
      <c r="C36" s="33" t="s">
        <v>30</v>
      </c>
      <c r="D36" s="32" t="s">
        <v>96</v>
      </c>
      <c r="E36" s="33" t="s">
        <v>30</v>
      </c>
      <c r="F36" s="32" t="s">
        <v>97</v>
      </c>
      <c r="G36" s="33" t="s">
        <v>30</v>
      </c>
    </row>
    <row r="37" spans="2:7" ht="14.25" customHeight="1" x14ac:dyDescent="0.3">
      <c r="B37" s="32" t="s">
        <v>98</v>
      </c>
      <c r="C37" s="33" t="s">
        <v>30</v>
      </c>
      <c r="D37" s="32" t="s">
        <v>128</v>
      </c>
      <c r="E37" s="33" t="s">
        <v>30</v>
      </c>
      <c r="F37" s="34"/>
      <c r="G37" s="34"/>
    </row>
    <row r="38" spans="2:7" ht="15" customHeight="1" x14ac:dyDescent="0.3">
      <c r="B38" s="137" t="s">
        <v>129</v>
      </c>
      <c r="C38" s="108"/>
      <c r="D38" s="108"/>
      <c r="E38" s="108"/>
      <c r="F38" s="108"/>
      <c r="G38" s="108"/>
    </row>
    <row r="39" spans="2:7" ht="14.25" customHeight="1" x14ac:dyDescent="0.3">
      <c r="B39" s="32" t="s">
        <v>130</v>
      </c>
      <c r="C39" s="33" t="s">
        <v>30</v>
      </c>
      <c r="D39" s="32" t="s">
        <v>131</v>
      </c>
      <c r="E39" s="33" t="s">
        <v>30</v>
      </c>
      <c r="F39" s="32" t="s">
        <v>132</v>
      </c>
      <c r="G39" s="33" t="s">
        <v>30</v>
      </c>
    </row>
    <row r="40" spans="2:7" ht="14.25" customHeight="1" x14ac:dyDescent="0.3">
      <c r="B40" s="32" t="s">
        <v>133</v>
      </c>
      <c r="C40" s="33" t="s">
        <v>30</v>
      </c>
      <c r="D40" s="32" t="s">
        <v>134</v>
      </c>
      <c r="E40" s="33" t="s">
        <v>30</v>
      </c>
      <c r="F40" s="32" t="s">
        <v>135</v>
      </c>
      <c r="G40" s="33" t="s">
        <v>30</v>
      </c>
    </row>
    <row r="41" spans="2:7" ht="14.25" customHeight="1" x14ac:dyDescent="0.3">
      <c r="B41" s="32" t="s">
        <v>136</v>
      </c>
      <c r="C41" s="33" t="s">
        <v>30</v>
      </c>
      <c r="D41" s="32" t="s">
        <v>137</v>
      </c>
      <c r="E41" s="33" t="s">
        <v>30</v>
      </c>
      <c r="F41" s="32" t="s">
        <v>138</v>
      </c>
      <c r="G41" s="33" t="s">
        <v>30</v>
      </c>
    </row>
    <row r="42" spans="2:7" ht="14.25" customHeight="1" x14ac:dyDescent="0.3">
      <c r="B42" s="32" t="s">
        <v>139</v>
      </c>
      <c r="C42" s="33" t="s">
        <v>30</v>
      </c>
      <c r="D42" s="34"/>
      <c r="E42" s="34"/>
      <c r="F42" s="34"/>
      <c r="G42" s="34"/>
    </row>
    <row r="43" spans="2:7" ht="15" customHeight="1" x14ac:dyDescent="0.3">
      <c r="B43" s="137" t="s">
        <v>140</v>
      </c>
      <c r="C43" s="108"/>
      <c r="D43" s="108"/>
      <c r="E43" s="108"/>
      <c r="F43" s="108"/>
      <c r="G43" s="108"/>
    </row>
    <row r="44" spans="2:7" ht="14.25" customHeight="1" x14ac:dyDescent="0.3">
      <c r="B44" s="32" t="s">
        <v>141</v>
      </c>
      <c r="C44" s="33" t="s">
        <v>30</v>
      </c>
      <c r="D44" s="32" t="s">
        <v>142</v>
      </c>
      <c r="E44" s="33" t="s">
        <v>30</v>
      </c>
      <c r="F44" s="32" t="s">
        <v>143</v>
      </c>
      <c r="G44" s="33" t="s">
        <v>30</v>
      </c>
    </row>
    <row r="45" spans="2:7" ht="14.25" customHeight="1" x14ac:dyDescent="0.3">
      <c r="B45" s="32" t="s">
        <v>144</v>
      </c>
      <c r="C45" s="33" t="s">
        <v>30</v>
      </c>
      <c r="D45" s="32" t="s">
        <v>145</v>
      </c>
      <c r="E45" s="33" t="s">
        <v>30</v>
      </c>
      <c r="F45" s="32" t="s">
        <v>146</v>
      </c>
      <c r="G45" s="33" t="s">
        <v>30</v>
      </c>
    </row>
    <row r="46" spans="2:7" ht="14.25" customHeight="1" x14ac:dyDescent="0.3">
      <c r="B46" s="32" t="s">
        <v>147</v>
      </c>
      <c r="C46" s="33" t="s">
        <v>30</v>
      </c>
      <c r="D46" s="32" t="s">
        <v>148</v>
      </c>
      <c r="E46" s="33" t="s">
        <v>30</v>
      </c>
      <c r="F46" s="34"/>
      <c r="G46" s="34"/>
    </row>
    <row r="47" spans="2:7" ht="76.5" customHeight="1" x14ac:dyDescent="0.3"/>
    <row r="48" spans="2:7" ht="15" customHeight="1" x14ac:dyDescent="0.3">
      <c r="B48" s="134" t="s">
        <v>109</v>
      </c>
      <c r="C48" s="135"/>
      <c r="D48" s="135"/>
      <c r="E48" s="135"/>
      <c r="F48" s="135"/>
      <c r="G48" s="135"/>
    </row>
    <row r="49" spans="2:7" ht="14.25" customHeight="1" x14ac:dyDescent="0.3">
      <c r="B49" s="35">
        <f>IF(Estimate!B31="","",1)</f>
        <v>1</v>
      </c>
      <c r="C49" s="133" t="str">
        <f>IF(Estimate!B31="","",Estimate!B31)</f>
        <v>Fog Lamp Blub LHS</v>
      </c>
      <c r="D49" s="131"/>
      <c r="E49" s="131"/>
      <c r="F49" s="131"/>
      <c r="G49" s="129"/>
    </row>
    <row r="50" spans="2:7" ht="14.25" customHeight="1" x14ac:dyDescent="0.3">
      <c r="B50" s="35" t="e">
        <f>IF(Estimate!#REF!="","",2)</f>
        <v>#REF!</v>
      </c>
      <c r="C50" s="133" t="e">
        <f>IF(Estimate!#REF!="","",Estimate!#REF!)</f>
        <v>#REF!</v>
      </c>
      <c r="D50" s="131"/>
      <c r="E50" s="131"/>
      <c r="F50" s="131"/>
      <c r="G50" s="129"/>
    </row>
    <row r="51" spans="2:7" ht="14.25" customHeight="1" x14ac:dyDescent="0.3">
      <c r="B51" s="35">
        <f>IF(Estimate!B32="","",3)</f>
        <v>3</v>
      </c>
      <c r="C51" s="133" t="str">
        <f>IF(Estimate!B32="","",Estimate!B32)</f>
        <v>Wiper Blade Set</v>
      </c>
      <c r="D51" s="131"/>
      <c r="E51" s="131"/>
      <c r="F51" s="131"/>
      <c r="G51" s="129"/>
    </row>
    <row r="52" spans="2:7" ht="14.25" customHeight="1" x14ac:dyDescent="0.3">
      <c r="B52" s="35" t="e">
        <f>IF(Estimate!#REF!="","",4)</f>
        <v>#REF!</v>
      </c>
      <c r="C52" s="133" t="e">
        <f>IF(Estimate!#REF!="","",Estimate!#REF!)</f>
        <v>#REF!</v>
      </c>
      <c r="D52" s="131"/>
      <c r="E52" s="131"/>
      <c r="F52" s="131"/>
      <c r="G52" s="129"/>
    </row>
    <row r="53" spans="2:7" ht="14.25" customHeight="1" x14ac:dyDescent="0.3">
      <c r="B53" s="35" t="e">
        <f>IF(Estimate!#REF!="","",5)</f>
        <v>#REF!</v>
      </c>
      <c r="C53" s="133" t="e">
        <f>IF(Estimate!#REF!="","",Estimate!#REF!)</f>
        <v>#REF!</v>
      </c>
      <c r="D53" s="131"/>
      <c r="E53" s="131"/>
      <c r="F53" s="131"/>
      <c r="G53" s="129"/>
    </row>
    <row r="54" spans="2:7" ht="14.25" customHeight="1" x14ac:dyDescent="0.3">
      <c r="B54" s="35" t="e">
        <f>IF(Estimate!#REF!="","",6)</f>
        <v>#REF!</v>
      </c>
      <c r="C54" s="133" t="e">
        <f>IF(Estimate!#REF!="","",Estimate!#REF!)</f>
        <v>#REF!</v>
      </c>
      <c r="D54" s="131"/>
      <c r="E54" s="131"/>
      <c r="F54" s="131"/>
      <c r="G54" s="129"/>
    </row>
    <row r="55" spans="2:7" ht="14.25" customHeight="1" x14ac:dyDescent="0.3">
      <c r="B55" s="35" t="e">
        <f>IF(Estimate!#REF!="","",7)</f>
        <v>#REF!</v>
      </c>
      <c r="C55" s="133" t="e">
        <f>IF(Estimate!#REF!="","",Estimate!#REF!)</f>
        <v>#REF!</v>
      </c>
      <c r="D55" s="131"/>
      <c r="E55" s="131"/>
      <c r="F55" s="131"/>
      <c r="G55" s="129"/>
    </row>
    <row r="56" spans="2:7" ht="14.25" customHeight="1" x14ac:dyDescent="0.3">
      <c r="B56" s="35" t="e">
        <f>IF(Estimate!#REF!="","",8)</f>
        <v>#REF!</v>
      </c>
      <c r="C56" s="133" t="e">
        <f>IF(Estimate!#REF!="","",Estimate!#REF!)</f>
        <v>#REF!</v>
      </c>
      <c r="D56" s="131"/>
      <c r="E56" s="131"/>
      <c r="F56" s="131"/>
      <c r="G56" s="129"/>
    </row>
    <row r="57" spans="2:7" ht="14.25" customHeight="1" x14ac:dyDescent="0.3">
      <c r="B57" s="35" t="e">
        <f>IF(Estimate!#REF!="","",9)</f>
        <v>#REF!</v>
      </c>
      <c r="C57" s="133" t="e">
        <f>IF(Estimate!#REF!="","",Estimate!#REF!)</f>
        <v>#REF!</v>
      </c>
      <c r="D57" s="131"/>
      <c r="E57" s="131"/>
      <c r="F57" s="131"/>
      <c r="G57" s="129"/>
    </row>
    <row r="58" spans="2:7" ht="14.25" customHeight="1" x14ac:dyDescent="0.3">
      <c r="B58" s="35">
        <f>IF(Estimate!B33="","",10)</f>
        <v>10</v>
      </c>
      <c r="C58" s="133" t="str">
        <f>IF(Estimate!B33="","",Estimate!B33)</f>
        <v>Throttle Body Service</v>
      </c>
      <c r="D58" s="131"/>
      <c r="E58" s="131"/>
      <c r="F58" s="131"/>
      <c r="G58" s="129"/>
    </row>
    <row r="59" spans="2:7" ht="14.25" customHeight="1" x14ac:dyDescent="0.3">
      <c r="B59" s="35" t="str">
        <f>IF(Estimate!B34="","",11)</f>
        <v/>
      </c>
      <c r="C59" s="133" t="str">
        <f>IF(Estimate!B34="","",Estimate!B34)</f>
        <v/>
      </c>
      <c r="D59" s="131"/>
      <c r="E59" s="131"/>
      <c r="F59" s="131"/>
      <c r="G59" s="129"/>
    </row>
    <row r="60" spans="2:7" ht="14.25" customHeight="1" x14ac:dyDescent="0.3">
      <c r="B60" s="35" t="str">
        <f>IF(Estimate!B35="","",12)</f>
        <v/>
      </c>
      <c r="C60" s="133" t="str">
        <f>IF(Estimate!B35="","",Estimate!B35)</f>
        <v/>
      </c>
      <c r="D60" s="131"/>
      <c r="E60" s="131"/>
      <c r="F60" s="131"/>
      <c r="G60" s="129"/>
    </row>
    <row r="61" spans="2:7" ht="14.25" customHeight="1" x14ac:dyDescent="0.3">
      <c r="B61" s="35" t="str">
        <f>IF(Estimate!B36="","",13)</f>
        <v/>
      </c>
      <c r="C61" s="133" t="str">
        <f>IF(Estimate!B36="","",Estimate!B36)</f>
        <v/>
      </c>
      <c r="D61" s="131"/>
      <c r="E61" s="131"/>
      <c r="F61" s="131"/>
      <c r="G61" s="129"/>
    </row>
    <row r="62" spans="2:7" ht="14.25" customHeight="1" x14ac:dyDescent="0.3">
      <c r="B62" s="35" t="str">
        <f>IF(Estimate!B37="","",14)</f>
        <v/>
      </c>
      <c r="C62" s="133" t="str">
        <f>IF(Estimate!B37="","",Estimate!B37)</f>
        <v/>
      </c>
      <c r="D62" s="131"/>
      <c r="E62" s="131"/>
      <c r="F62" s="131"/>
      <c r="G62" s="129"/>
    </row>
    <row r="63" spans="2:7" ht="14.25" customHeight="1" x14ac:dyDescent="0.3">
      <c r="B63" s="35" t="str">
        <f>IF(Estimate!B38="","",15)</f>
        <v/>
      </c>
      <c r="C63" s="133" t="str">
        <f>IF(Estimate!B38="","",Estimate!B38)</f>
        <v/>
      </c>
      <c r="D63" s="131"/>
      <c r="E63" s="131"/>
      <c r="F63" s="131"/>
      <c r="G63" s="129"/>
    </row>
    <row r="64" spans="2:7" ht="14.4" customHeight="1" x14ac:dyDescent="0.3"/>
    <row r="65" spans="2:7" ht="15" customHeight="1" x14ac:dyDescent="0.3">
      <c r="B65" s="146" t="s">
        <v>110</v>
      </c>
      <c r="C65" s="135"/>
      <c r="D65" s="135"/>
      <c r="E65" s="135"/>
      <c r="F65" s="135"/>
      <c r="G65" s="135"/>
    </row>
    <row r="66" spans="2:7" ht="15" customHeight="1" x14ac:dyDescent="0.3">
      <c r="B66" s="3" t="s">
        <v>111</v>
      </c>
      <c r="C66" s="141" t="s">
        <v>112</v>
      </c>
      <c r="D66" s="131"/>
      <c r="E66" s="129"/>
      <c r="F66" s="128" t="s">
        <v>113</v>
      </c>
      <c r="G66" s="129"/>
    </row>
    <row r="67" spans="2:7" ht="14.25" customHeight="1" x14ac:dyDescent="0.3">
      <c r="B67" s="35">
        <v>1</v>
      </c>
      <c r="C67" s="130"/>
      <c r="D67" s="131"/>
      <c r="E67" s="129"/>
      <c r="F67" s="140"/>
      <c r="G67" s="129"/>
    </row>
    <row r="68" spans="2:7" ht="14.25" customHeight="1" x14ac:dyDescent="0.3">
      <c r="B68" s="35">
        <v>2</v>
      </c>
      <c r="C68" s="130"/>
      <c r="D68" s="131"/>
      <c r="E68" s="129"/>
      <c r="F68" s="140"/>
      <c r="G68" s="129"/>
    </row>
    <row r="69" spans="2:7" ht="14.25" customHeight="1" x14ac:dyDescent="0.3">
      <c r="B69" s="35">
        <v>3</v>
      </c>
      <c r="C69" s="130"/>
      <c r="D69" s="131"/>
      <c r="E69" s="129"/>
      <c r="F69" s="140"/>
      <c r="G69" s="129"/>
    </row>
    <row r="70" spans="2:7" ht="14.25" customHeight="1" x14ac:dyDescent="0.3">
      <c r="B70" s="35">
        <v>4</v>
      </c>
      <c r="C70" s="130"/>
      <c r="D70" s="131"/>
      <c r="E70" s="129"/>
      <c r="F70" s="140"/>
      <c r="G70" s="129"/>
    </row>
    <row r="71" spans="2:7" ht="14.25" customHeight="1" x14ac:dyDescent="0.3">
      <c r="B71" s="35">
        <v>5</v>
      </c>
      <c r="C71" s="130"/>
      <c r="D71" s="131"/>
      <c r="E71" s="129"/>
      <c r="F71" s="140"/>
      <c r="G71" s="129"/>
    </row>
    <row r="72" spans="2:7" ht="14.25" customHeight="1" x14ac:dyDescent="0.3">
      <c r="B72" s="35">
        <v>6</v>
      </c>
      <c r="C72" s="130"/>
      <c r="D72" s="131"/>
      <c r="E72" s="129"/>
      <c r="F72" s="140"/>
      <c r="G72" s="129"/>
    </row>
    <row r="73" spans="2:7" ht="14.25" customHeight="1" x14ac:dyDescent="0.3">
      <c r="B73" s="35">
        <v>7</v>
      </c>
      <c r="C73" s="130"/>
      <c r="D73" s="131"/>
      <c r="E73" s="129"/>
      <c r="F73" s="140"/>
      <c r="G73" s="129"/>
    </row>
    <row r="74" spans="2:7" ht="14.25" customHeight="1" x14ac:dyDescent="0.3">
      <c r="B74" s="35">
        <v>8</v>
      </c>
      <c r="C74" s="130"/>
      <c r="D74" s="131"/>
      <c r="E74" s="129"/>
      <c r="F74" s="140"/>
      <c r="G74" s="129"/>
    </row>
    <row r="75" spans="2:7" ht="14.25" customHeight="1" x14ac:dyDescent="0.3">
      <c r="B75" s="35">
        <v>9</v>
      </c>
      <c r="C75" s="130"/>
      <c r="D75" s="131"/>
      <c r="E75" s="129"/>
      <c r="F75" s="140"/>
      <c r="G75" s="129"/>
    </row>
    <row r="76" spans="2:7" ht="14.25" customHeight="1" x14ac:dyDescent="0.3">
      <c r="B76" s="35">
        <v>10</v>
      </c>
      <c r="C76" s="130"/>
      <c r="D76" s="131"/>
      <c r="E76" s="129"/>
      <c r="F76" s="140"/>
      <c r="G76" s="129"/>
    </row>
    <row r="77" spans="2:7" ht="15" customHeight="1" x14ac:dyDescent="0.3">
      <c r="B77" s="145" t="s">
        <v>114</v>
      </c>
      <c r="C77" s="129"/>
      <c r="D77" s="143" t="str">
        <f>IFERROR(_xlfn.TEXTJOIN(";  ",TRUE(),C67:C76),"")</f>
        <v/>
      </c>
      <c r="E77" s="131"/>
      <c r="F77" s="131"/>
      <c r="G77" s="129"/>
    </row>
    <row r="78" spans="2:7" ht="14.4" customHeight="1" x14ac:dyDescent="0.3"/>
    <row r="79" spans="2:7" ht="18.75" customHeight="1" x14ac:dyDescent="0.3">
      <c r="B79" s="88" t="s">
        <v>115</v>
      </c>
      <c r="C79" s="87"/>
      <c r="D79" s="87"/>
      <c r="E79" s="87"/>
      <c r="F79" s="87"/>
      <c r="G79" s="87"/>
    </row>
    <row r="80" spans="2:7" ht="14.4" customHeight="1" x14ac:dyDescent="0.3"/>
    <row r="81" spans="2:7" ht="23.25" customHeight="1" x14ac:dyDescent="0.3">
      <c r="B81" s="142" t="s">
        <v>116</v>
      </c>
      <c r="C81" s="87"/>
      <c r="D81" s="87"/>
      <c r="E81" s="142" t="s">
        <v>117</v>
      </c>
      <c r="F81" s="87"/>
      <c r="G81" s="87"/>
    </row>
  </sheetData>
  <mergeCells count="61">
    <mergeCell ref="B2:G2"/>
    <mergeCell ref="C49:G49"/>
    <mergeCell ref="F69:G69"/>
    <mergeCell ref="F73:G73"/>
    <mergeCell ref="C62:G62"/>
    <mergeCell ref="B8:D8"/>
    <mergeCell ref="C58:G58"/>
    <mergeCell ref="F68:G68"/>
    <mergeCell ref="B4:G4"/>
    <mergeCell ref="B3:G3"/>
    <mergeCell ref="C53:G53"/>
    <mergeCell ref="B48:G48"/>
    <mergeCell ref="B11:G11"/>
    <mergeCell ref="C75:E75"/>
    <mergeCell ref="E9:G9"/>
    <mergeCell ref="F74:G74"/>
    <mergeCell ref="E6:G6"/>
    <mergeCell ref="B38:G38"/>
    <mergeCell ref="B9:D9"/>
    <mergeCell ref="E7:G7"/>
    <mergeCell ref="B6:D6"/>
    <mergeCell ref="B20:G20"/>
    <mergeCell ref="C59:G59"/>
    <mergeCell ref="C66:E66"/>
    <mergeCell ref="B35:G35"/>
    <mergeCell ref="B26:G26"/>
    <mergeCell ref="B7:D7"/>
    <mergeCell ref="E8:G8"/>
    <mergeCell ref="B43:G43"/>
    <mergeCell ref="B77:C77"/>
    <mergeCell ref="C76:E76"/>
    <mergeCell ref="C71:E71"/>
    <mergeCell ref="C54:G54"/>
    <mergeCell ref="C50:G50"/>
    <mergeCell ref="C63:G63"/>
    <mergeCell ref="C70:E70"/>
    <mergeCell ref="B65:G65"/>
    <mergeCell ref="F76:G76"/>
    <mergeCell ref="C55:G55"/>
    <mergeCell ref="F70:G70"/>
    <mergeCell ref="F66:G66"/>
    <mergeCell ref="C67:E67"/>
    <mergeCell ref="C56:G56"/>
    <mergeCell ref="F75:G75"/>
    <mergeCell ref="C72:E72"/>
    <mergeCell ref="E81:G81"/>
    <mergeCell ref="F72:G72"/>
    <mergeCell ref="C60:G60"/>
    <mergeCell ref="D77:G77"/>
    <mergeCell ref="C51:G51"/>
    <mergeCell ref="C69:E69"/>
    <mergeCell ref="B79:G79"/>
    <mergeCell ref="C61:G61"/>
    <mergeCell ref="C68:E68"/>
    <mergeCell ref="C52:G52"/>
    <mergeCell ref="F71:G71"/>
    <mergeCell ref="F67:G67"/>
    <mergeCell ref="B81:D81"/>
    <mergeCell ref="C74:E74"/>
    <mergeCell ref="C73:E73"/>
    <mergeCell ref="C57:G57"/>
  </mergeCells>
  <dataValidations count="1">
    <dataValidation type="list" allowBlank="1" sqref="F67:F76">
      <formula1>"Minor,Medium,Major"</formula1>
      <formula2>0</formula2>
    </dataValidation>
  </dataValidations>
  <pageMargins left="0.3" right="0.3" top="0.4" bottom="0.4" header="0.511811023622047" footer="0.511811023622047"/>
  <pageSetup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07"/>
  <sheetViews>
    <sheetView showGridLines="0" zoomScaleNormal="100" workbookViewId="0">
      <selection activeCell="E12" sqref="E12"/>
    </sheetView>
  </sheetViews>
  <sheetFormatPr defaultColWidth="8.5546875" defaultRowHeight="14.25" customHeight="1" x14ac:dyDescent="0.3"/>
  <cols>
    <col min="2" max="2" width="18" customWidth="1"/>
    <col min="3" max="3" width="6" customWidth="1"/>
    <col min="4" max="4" width="16" customWidth="1"/>
    <col min="5" max="5" width="10" customWidth="1"/>
    <col min="6" max="6" width="12" customWidth="1"/>
    <col min="7" max="7" width="16" customWidth="1"/>
    <col min="8" max="8" width="13" customWidth="1"/>
    <col min="11" max="11" width="30" hidden="1" customWidth="1"/>
  </cols>
  <sheetData>
    <row r="1" spans="2:8" ht="15" customHeight="1" x14ac:dyDescent="0.3">
      <c r="B1" s="149" t="s">
        <v>149</v>
      </c>
      <c r="C1" s="87"/>
      <c r="D1" s="87"/>
      <c r="E1" s="87"/>
      <c r="F1" s="87"/>
      <c r="G1" s="87"/>
      <c r="H1" s="87"/>
    </row>
    <row r="2" spans="2:8" ht="14.4" customHeight="1" x14ac:dyDescent="0.3"/>
    <row r="3" spans="2:8" ht="14.25" customHeight="1" x14ac:dyDescent="0.3">
      <c r="B3" s="36" t="s">
        <v>150</v>
      </c>
    </row>
    <row r="4" spans="2:8" ht="15" customHeight="1" x14ac:dyDescent="0.3">
      <c r="B4" s="9" t="s">
        <v>5</v>
      </c>
      <c r="D4" s="151" t="s">
        <v>6</v>
      </c>
      <c r="E4" s="131"/>
      <c r="F4" s="129"/>
      <c r="G4" s="151" t="s">
        <v>9</v>
      </c>
      <c r="H4" s="129"/>
    </row>
    <row r="5" spans="2:8" ht="15" customHeight="1" x14ac:dyDescent="0.3">
      <c r="B5" s="37" t="s">
        <v>151</v>
      </c>
      <c r="D5" s="152" t="s">
        <v>152</v>
      </c>
      <c r="E5" s="131"/>
      <c r="F5" s="129"/>
      <c r="G5" s="152" t="s">
        <v>153</v>
      </c>
      <c r="H5" s="129"/>
    </row>
    <row r="6" spans="2:8" ht="15" customHeight="1" x14ac:dyDescent="0.3">
      <c r="B6" s="37" t="s">
        <v>7</v>
      </c>
      <c r="D6" s="152" t="s">
        <v>154</v>
      </c>
      <c r="E6" s="131"/>
      <c r="F6" s="129"/>
      <c r="G6" s="152" t="s">
        <v>11</v>
      </c>
      <c r="H6" s="129"/>
    </row>
    <row r="7" spans="2:8" ht="15" customHeight="1" x14ac:dyDescent="0.3">
      <c r="B7" s="37" t="s">
        <v>155</v>
      </c>
      <c r="D7" s="152" t="s">
        <v>156</v>
      </c>
      <c r="E7" s="131"/>
      <c r="F7" s="129"/>
      <c r="G7" s="152" t="s">
        <v>157</v>
      </c>
      <c r="H7" s="129"/>
    </row>
    <row r="8" spans="2:8" ht="15" customHeight="1" x14ac:dyDescent="0.3">
      <c r="B8" s="37" t="s">
        <v>158</v>
      </c>
      <c r="D8" s="152" t="s">
        <v>159</v>
      </c>
      <c r="E8" s="131"/>
      <c r="F8" s="129"/>
    </row>
    <row r="9" spans="2:8" ht="15" customHeight="1" x14ac:dyDescent="0.3">
      <c r="B9" s="37" t="s">
        <v>160</v>
      </c>
      <c r="D9" s="152" t="s">
        <v>8</v>
      </c>
      <c r="E9" s="131"/>
      <c r="F9" s="129"/>
    </row>
    <row r="10" spans="2:8" ht="15" customHeight="1" x14ac:dyDescent="0.3">
      <c r="D10" s="152" t="s">
        <v>161</v>
      </c>
      <c r="E10" s="131"/>
      <c r="F10" s="129"/>
    </row>
    <row r="11" spans="2:8" ht="15" customHeight="1" x14ac:dyDescent="0.3">
      <c r="D11" s="152" t="s">
        <v>162</v>
      </c>
      <c r="E11" s="131"/>
      <c r="F11" s="129"/>
    </row>
    <row r="12" spans="2:8" ht="14.4" customHeight="1" x14ac:dyDescent="0.3"/>
    <row r="13" spans="2:8" ht="14.4" customHeight="1" x14ac:dyDescent="0.3"/>
    <row r="14" spans="2:8" ht="14.25" customHeight="1" x14ac:dyDescent="0.3">
      <c r="B14" s="36" t="s">
        <v>163</v>
      </c>
    </row>
    <row r="15" spans="2:8" ht="15" customHeight="1" x14ac:dyDescent="0.3">
      <c r="B15" s="151" t="s">
        <v>10</v>
      </c>
      <c r="C15" s="129"/>
    </row>
    <row r="16" spans="2:8" ht="15" customHeight="1" x14ac:dyDescent="0.3">
      <c r="B16" s="152" t="s">
        <v>12</v>
      </c>
      <c r="C16" s="129"/>
    </row>
    <row r="17" spans="2:8" ht="15" customHeight="1" x14ac:dyDescent="0.3">
      <c r="B17" s="152" t="s">
        <v>164</v>
      </c>
      <c r="C17" s="129"/>
    </row>
    <row r="18" spans="2:8" ht="15" customHeight="1" x14ac:dyDescent="0.3">
      <c r="B18" s="152" t="s">
        <v>165</v>
      </c>
      <c r="C18" s="129"/>
    </row>
    <row r="19" spans="2:8" ht="15" customHeight="1" x14ac:dyDescent="0.3">
      <c r="B19" s="152" t="s">
        <v>166</v>
      </c>
      <c r="C19" s="129"/>
    </row>
    <row r="20" spans="2:8" ht="15" customHeight="1" x14ac:dyDescent="0.3">
      <c r="B20" s="152" t="s">
        <v>167</v>
      </c>
      <c r="C20" s="129"/>
    </row>
    <row r="21" spans="2:8" ht="14.4" customHeight="1" x14ac:dyDescent="0.3"/>
    <row r="22" spans="2:8" ht="14.4" customHeight="1" x14ac:dyDescent="0.3"/>
    <row r="23" spans="2:8" ht="14.25" customHeight="1" x14ac:dyDescent="0.3">
      <c r="B23" s="154" t="s">
        <v>168</v>
      </c>
      <c r="C23" s="87"/>
      <c r="D23" s="87"/>
      <c r="E23" s="87"/>
      <c r="F23" s="87"/>
      <c r="G23" s="87"/>
      <c r="H23" s="87"/>
    </row>
    <row r="24" spans="2:8" ht="15" customHeight="1" x14ac:dyDescent="0.3">
      <c r="B24" s="9" t="s">
        <v>9</v>
      </c>
      <c r="D24" s="151" t="s">
        <v>169</v>
      </c>
      <c r="E24" s="131"/>
      <c r="F24" s="131"/>
      <c r="G24" s="129"/>
      <c r="H24" s="9" t="s">
        <v>170</v>
      </c>
    </row>
    <row r="25" spans="2:8" ht="15" customHeight="1" x14ac:dyDescent="0.3">
      <c r="B25" s="37" t="s">
        <v>153</v>
      </c>
      <c r="D25" s="152" t="s">
        <v>171</v>
      </c>
      <c r="E25" s="131"/>
      <c r="F25" s="131"/>
      <c r="G25" s="129"/>
      <c r="H25" s="38">
        <v>615</v>
      </c>
    </row>
    <row r="26" spans="2:8" ht="15" customHeight="1" x14ac:dyDescent="0.3">
      <c r="B26" s="37" t="s">
        <v>11</v>
      </c>
      <c r="D26" s="152" t="s">
        <v>172</v>
      </c>
      <c r="E26" s="131"/>
      <c r="F26" s="131"/>
      <c r="G26" s="129"/>
      <c r="H26" s="38">
        <v>875</v>
      </c>
    </row>
    <row r="27" spans="2:8" ht="15" customHeight="1" x14ac:dyDescent="0.3">
      <c r="B27" s="37" t="s">
        <v>157</v>
      </c>
      <c r="D27" s="152" t="s">
        <v>173</v>
      </c>
      <c r="E27" s="131"/>
      <c r="F27" s="131"/>
      <c r="G27" s="129"/>
      <c r="H27" s="38">
        <v>1500</v>
      </c>
    </row>
    <row r="28" spans="2:8" ht="14.4" customHeight="1" x14ac:dyDescent="0.3"/>
    <row r="29" spans="2:8" ht="14.4" customHeight="1" x14ac:dyDescent="0.3"/>
    <row r="30" spans="2:8" ht="14.25" customHeight="1" x14ac:dyDescent="0.3">
      <c r="B30" s="154" t="s">
        <v>174</v>
      </c>
      <c r="C30" s="87"/>
      <c r="D30" s="87"/>
      <c r="E30" s="87"/>
      <c r="F30" s="87"/>
      <c r="G30" s="87"/>
      <c r="H30" s="87"/>
    </row>
    <row r="31" spans="2:8" ht="15" customHeight="1" x14ac:dyDescent="0.3">
      <c r="B31" s="151" t="s">
        <v>6</v>
      </c>
      <c r="C31" s="131"/>
      <c r="D31" s="131"/>
      <c r="E31" s="129"/>
      <c r="F31" s="9" t="s">
        <v>175</v>
      </c>
      <c r="G31" s="151" t="s">
        <v>176</v>
      </c>
      <c r="H31" s="129"/>
    </row>
    <row r="32" spans="2:8" ht="15" customHeight="1" x14ac:dyDescent="0.3">
      <c r="B32" s="150" t="s">
        <v>152</v>
      </c>
      <c r="C32" s="131"/>
      <c r="D32" s="131"/>
      <c r="E32" s="129"/>
      <c r="F32" s="40">
        <v>1</v>
      </c>
      <c r="G32" s="153">
        <v>3.5</v>
      </c>
      <c r="H32" s="129"/>
    </row>
    <row r="33" spans="2:11" ht="15" customHeight="1" x14ac:dyDescent="0.3">
      <c r="B33" s="150" t="s">
        <v>154</v>
      </c>
      <c r="C33" s="131"/>
      <c r="D33" s="131"/>
      <c r="E33" s="129"/>
      <c r="F33" s="40">
        <v>1</v>
      </c>
      <c r="G33" s="153">
        <v>4</v>
      </c>
      <c r="H33" s="129"/>
    </row>
    <row r="34" spans="2:11" ht="15" customHeight="1" x14ac:dyDescent="0.3">
      <c r="B34" s="150" t="s">
        <v>156</v>
      </c>
      <c r="C34" s="131"/>
      <c r="D34" s="131"/>
      <c r="E34" s="129"/>
      <c r="F34" s="40">
        <v>2</v>
      </c>
      <c r="G34" s="153">
        <v>7</v>
      </c>
      <c r="H34" s="129"/>
    </row>
    <row r="35" spans="2:11" ht="15" customHeight="1" x14ac:dyDescent="0.3">
      <c r="B35" s="150" t="s">
        <v>159</v>
      </c>
      <c r="C35" s="131"/>
      <c r="D35" s="131"/>
      <c r="E35" s="129"/>
      <c r="F35" s="40">
        <v>2</v>
      </c>
      <c r="G35" s="153">
        <v>7</v>
      </c>
      <c r="H35" s="129"/>
    </row>
    <row r="36" spans="2:11" ht="15" customHeight="1" x14ac:dyDescent="0.3">
      <c r="B36" s="150" t="s">
        <v>8</v>
      </c>
      <c r="C36" s="131"/>
      <c r="D36" s="131"/>
      <c r="E36" s="129"/>
      <c r="F36" s="40">
        <v>2</v>
      </c>
      <c r="G36" s="153">
        <v>7</v>
      </c>
      <c r="H36" s="129"/>
    </row>
    <row r="37" spans="2:11" ht="15" customHeight="1" x14ac:dyDescent="0.3">
      <c r="B37" s="150" t="s">
        <v>161</v>
      </c>
      <c r="C37" s="131"/>
      <c r="D37" s="131"/>
      <c r="E37" s="129"/>
      <c r="F37" s="40">
        <v>2</v>
      </c>
      <c r="G37" s="153">
        <v>7</v>
      </c>
      <c r="H37" s="129"/>
    </row>
    <row r="38" spans="2:11" ht="15" customHeight="1" x14ac:dyDescent="0.3">
      <c r="B38" s="150" t="s">
        <v>162</v>
      </c>
      <c r="C38" s="131"/>
      <c r="D38" s="131"/>
      <c r="E38" s="129"/>
      <c r="F38" s="40">
        <v>2</v>
      </c>
      <c r="G38" s="153">
        <v>7</v>
      </c>
      <c r="H38" s="129"/>
    </row>
    <row r="39" spans="2:11" ht="14.4" customHeight="1" x14ac:dyDescent="0.3"/>
    <row r="40" spans="2:11" ht="14.4" customHeight="1" x14ac:dyDescent="0.3"/>
    <row r="41" spans="2:11" ht="14.25" customHeight="1" x14ac:dyDescent="0.3">
      <c r="B41" s="154" t="s">
        <v>177</v>
      </c>
      <c r="C41" s="87"/>
      <c r="D41" s="87"/>
      <c r="E41" s="87"/>
      <c r="F41" s="87"/>
      <c r="G41" s="87"/>
      <c r="H41" s="87"/>
    </row>
    <row r="42" spans="2:11" ht="15" customHeight="1" x14ac:dyDescent="0.3">
      <c r="B42" s="151" t="s">
        <v>5</v>
      </c>
      <c r="C42" s="129"/>
      <c r="D42" s="151" t="s">
        <v>6</v>
      </c>
      <c r="E42" s="131"/>
      <c r="F42" s="129"/>
      <c r="G42" s="9" t="s">
        <v>9</v>
      </c>
      <c r="H42" s="9" t="s">
        <v>178</v>
      </c>
    </row>
    <row r="43" spans="2:11" ht="15" customHeight="1" x14ac:dyDescent="0.3">
      <c r="B43" s="150" t="s">
        <v>151</v>
      </c>
      <c r="C43" s="129"/>
      <c r="D43" s="150" t="s">
        <v>152</v>
      </c>
      <c r="E43" s="131"/>
      <c r="F43" s="129"/>
      <c r="G43" s="39" t="s">
        <v>153</v>
      </c>
      <c r="H43" s="38">
        <v>1500</v>
      </c>
      <c r="K43" s="41" t="str">
        <f t="shared" ref="K43:K74" si="0">B43&amp;"|"&amp;D43&amp;"|"&amp;G43</f>
        <v>EA Refresh|Hatchback|Semi-Synthetic</v>
      </c>
    </row>
    <row r="44" spans="2:11" ht="15" customHeight="1" x14ac:dyDescent="0.3">
      <c r="B44" s="150" t="s">
        <v>151</v>
      </c>
      <c r="C44" s="129"/>
      <c r="D44" s="150" t="s">
        <v>152</v>
      </c>
      <c r="E44" s="131"/>
      <c r="F44" s="129"/>
      <c r="G44" s="39" t="s">
        <v>11</v>
      </c>
      <c r="H44" s="38">
        <v>1800</v>
      </c>
      <c r="K44" s="41" t="str">
        <f t="shared" si="0"/>
        <v>EA Refresh|Hatchback|Fully-Synthetic</v>
      </c>
    </row>
    <row r="45" spans="2:11" ht="15" customHeight="1" x14ac:dyDescent="0.3">
      <c r="B45" s="150" t="s">
        <v>151</v>
      </c>
      <c r="C45" s="129"/>
      <c r="D45" s="150" t="s">
        <v>154</v>
      </c>
      <c r="E45" s="131"/>
      <c r="F45" s="129"/>
      <c r="G45" s="39" t="s">
        <v>153</v>
      </c>
      <c r="H45" s="38">
        <v>2100</v>
      </c>
      <c r="K45" s="41" t="str">
        <f t="shared" si="0"/>
        <v>EA Refresh|Prem. Hatch / Sedan / Compact SUV|Semi-Synthetic</v>
      </c>
    </row>
    <row r="46" spans="2:11" ht="15" customHeight="1" x14ac:dyDescent="0.3">
      <c r="B46" s="150" t="s">
        <v>151</v>
      </c>
      <c r="C46" s="129"/>
      <c r="D46" s="150" t="s">
        <v>154</v>
      </c>
      <c r="E46" s="131"/>
      <c r="F46" s="129"/>
      <c r="G46" s="39" t="s">
        <v>11</v>
      </c>
      <c r="H46" s="38">
        <v>2100</v>
      </c>
      <c r="K46" s="41" t="str">
        <f t="shared" si="0"/>
        <v>EA Refresh|Prem. Hatch / Sedan / Compact SUV|Fully-Synthetic</v>
      </c>
    </row>
    <row r="47" spans="2:11" ht="15" customHeight="1" x14ac:dyDescent="0.3">
      <c r="B47" s="150" t="s">
        <v>151</v>
      </c>
      <c r="C47" s="129"/>
      <c r="D47" s="150" t="s">
        <v>156</v>
      </c>
      <c r="E47" s="131"/>
      <c r="F47" s="129"/>
      <c r="G47" s="39" t="s">
        <v>153</v>
      </c>
      <c r="H47" s="38">
        <v>2750</v>
      </c>
      <c r="K47" s="41" t="str">
        <f t="shared" si="0"/>
        <v>EA Refresh|SUV / MUV|Semi-Synthetic</v>
      </c>
    </row>
    <row r="48" spans="2:11" ht="15" customHeight="1" x14ac:dyDescent="0.3">
      <c r="B48" s="150" t="s">
        <v>151</v>
      </c>
      <c r="C48" s="129"/>
      <c r="D48" s="150" t="s">
        <v>156</v>
      </c>
      <c r="E48" s="131"/>
      <c r="F48" s="129"/>
      <c r="G48" s="39" t="s">
        <v>11</v>
      </c>
      <c r="H48" s="38">
        <v>3000</v>
      </c>
      <c r="K48" s="41" t="str">
        <f t="shared" si="0"/>
        <v>EA Refresh|SUV / MUV|Fully-Synthetic</v>
      </c>
    </row>
    <row r="49" spans="2:11" ht="15" customHeight="1" x14ac:dyDescent="0.3">
      <c r="B49" s="150" t="s">
        <v>151</v>
      </c>
      <c r="C49" s="129"/>
      <c r="D49" s="150" t="s">
        <v>159</v>
      </c>
      <c r="E49" s="131"/>
      <c r="F49" s="129"/>
      <c r="G49" s="39" t="s">
        <v>11</v>
      </c>
      <c r="H49" s="38">
        <v>3850</v>
      </c>
      <c r="K49" s="41" t="str">
        <f t="shared" si="0"/>
        <v>EA Refresh|Premium SUV|Fully-Synthetic</v>
      </c>
    </row>
    <row r="50" spans="2:11" ht="15" customHeight="1" x14ac:dyDescent="0.3">
      <c r="B50" s="150" t="s">
        <v>151</v>
      </c>
      <c r="C50" s="129"/>
      <c r="D50" s="150" t="s">
        <v>8</v>
      </c>
      <c r="E50" s="131"/>
      <c r="F50" s="129"/>
      <c r="G50" s="39" t="s">
        <v>11</v>
      </c>
      <c r="H50" s="38">
        <v>9000</v>
      </c>
      <c r="K50" s="41" t="str">
        <f t="shared" si="0"/>
        <v>EA Refresh|Premium Luxury - Class 1|Fully-Synthetic</v>
      </c>
    </row>
    <row r="51" spans="2:11" ht="15" customHeight="1" x14ac:dyDescent="0.3">
      <c r="B51" s="150" t="s">
        <v>151</v>
      </c>
      <c r="C51" s="129"/>
      <c r="D51" s="150" t="s">
        <v>8</v>
      </c>
      <c r="E51" s="131"/>
      <c r="F51" s="129"/>
      <c r="G51" s="39" t="s">
        <v>157</v>
      </c>
      <c r="H51" s="38">
        <v>10500</v>
      </c>
      <c r="K51" s="41" t="str">
        <f t="shared" si="0"/>
        <v>EA Refresh|Premium Luxury - Class 1|Triple-Synthetic</v>
      </c>
    </row>
    <row r="52" spans="2:11" ht="15" customHeight="1" x14ac:dyDescent="0.3">
      <c r="B52" s="150" t="s">
        <v>151</v>
      </c>
      <c r="C52" s="129"/>
      <c r="D52" s="150" t="s">
        <v>161</v>
      </c>
      <c r="E52" s="131"/>
      <c r="F52" s="129"/>
      <c r="G52" s="39" t="s">
        <v>11</v>
      </c>
      <c r="H52" s="38">
        <v>7000</v>
      </c>
      <c r="K52" s="41" t="str">
        <f t="shared" si="0"/>
        <v>EA Refresh|Premium Luxury - Class 2|Fully-Synthetic</v>
      </c>
    </row>
    <row r="53" spans="2:11" ht="15" customHeight="1" x14ac:dyDescent="0.3">
      <c r="B53" s="150" t="s">
        <v>151</v>
      </c>
      <c r="C53" s="129"/>
      <c r="D53" s="150" t="s">
        <v>161</v>
      </c>
      <c r="E53" s="131"/>
      <c r="F53" s="129"/>
      <c r="G53" s="39" t="s">
        <v>157</v>
      </c>
      <c r="H53" s="38">
        <v>8500</v>
      </c>
      <c r="K53" s="41" t="str">
        <f t="shared" si="0"/>
        <v>EA Refresh|Premium Luxury - Class 2|Triple-Synthetic</v>
      </c>
    </row>
    <row r="54" spans="2:11" ht="15" customHeight="1" x14ac:dyDescent="0.3">
      <c r="B54" s="150" t="s">
        <v>151</v>
      </c>
      <c r="C54" s="129"/>
      <c r="D54" s="150" t="s">
        <v>162</v>
      </c>
      <c r="E54" s="131"/>
      <c r="F54" s="129"/>
      <c r="G54" s="39" t="s">
        <v>11</v>
      </c>
      <c r="H54" s="38">
        <v>5000</v>
      </c>
      <c r="K54" s="41" t="str">
        <f t="shared" si="0"/>
        <v>EA Refresh|Premium Luxury - Class 3|Fully-Synthetic</v>
      </c>
    </row>
    <row r="55" spans="2:11" ht="15" customHeight="1" x14ac:dyDescent="0.3">
      <c r="B55" s="150" t="s">
        <v>151</v>
      </c>
      <c r="C55" s="129"/>
      <c r="D55" s="150" t="s">
        <v>162</v>
      </c>
      <c r="E55" s="131"/>
      <c r="F55" s="129"/>
      <c r="G55" s="39" t="s">
        <v>157</v>
      </c>
      <c r="H55" s="38">
        <v>6500</v>
      </c>
      <c r="K55" s="41" t="str">
        <f t="shared" si="0"/>
        <v>EA Refresh|Premium Luxury - Class 3|Triple-Synthetic</v>
      </c>
    </row>
    <row r="56" spans="2:11" ht="15" customHeight="1" x14ac:dyDescent="0.3">
      <c r="B56" s="150" t="s">
        <v>7</v>
      </c>
      <c r="C56" s="129"/>
      <c r="D56" s="150" t="s">
        <v>152</v>
      </c>
      <c r="E56" s="131"/>
      <c r="F56" s="129"/>
      <c r="G56" s="39" t="s">
        <v>153</v>
      </c>
      <c r="H56" s="38">
        <v>3200</v>
      </c>
      <c r="K56" s="41" t="str">
        <f t="shared" si="0"/>
        <v>EA Essentials|Hatchback|Semi-Synthetic</v>
      </c>
    </row>
    <row r="57" spans="2:11" ht="15" customHeight="1" x14ac:dyDescent="0.3">
      <c r="B57" s="150" t="s">
        <v>7</v>
      </c>
      <c r="C57" s="129"/>
      <c r="D57" s="150" t="s">
        <v>152</v>
      </c>
      <c r="E57" s="131"/>
      <c r="F57" s="129"/>
      <c r="G57" s="39" t="s">
        <v>11</v>
      </c>
      <c r="H57" s="38">
        <v>4375</v>
      </c>
      <c r="K57" s="41" t="str">
        <f t="shared" si="0"/>
        <v>EA Essentials|Hatchback|Fully-Synthetic</v>
      </c>
    </row>
    <row r="58" spans="2:11" ht="15" customHeight="1" x14ac:dyDescent="0.3">
      <c r="B58" s="150" t="s">
        <v>7</v>
      </c>
      <c r="C58" s="129"/>
      <c r="D58" s="150" t="s">
        <v>154</v>
      </c>
      <c r="E58" s="131"/>
      <c r="F58" s="129"/>
      <c r="G58" s="39" t="s">
        <v>153</v>
      </c>
      <c r="H58" s="38">
        <v>3975</v>
      </c>
      <c r="K58" s="41" t="str">
        <f t="shared" si="0"/>
        <v>EA Essentials|Prem. Hatch / Sedan / Compact SUV|Semi-Synthetic</v>
      </c>
    </row>
    <row r="59" spans="2:11" ht="15" customHeight="1" x14ac:dyDescent="0.3">
      <c r="B59" s="150" t="s">
        <v>7</v>
      </c>
      <c r="C59" s="129"/>
      <c r="D59" s="150" t="s">
        <v>154</v>
      </c>
      <c r="E59" s="131"/>
      <c r="F59" s="129"/>
      <c r="G59" s="39" t="s">
        <v>11</v>
      </c>
      <c r="H59" s="38">
        <v>5525</v>
      </c>
      <c r="K59" s="41" t="str">
        <f t="shared" si="0"/>
        <v>EA Essentials|Prem. Hatch / Sedan / Compact SUV|Fully-Synthetic</v>
      </c>
    </row>
    <row r="60" spans="2:11" ht="15" customHeight="1" x14ac:dyDescent="0.3">
      <c r="B60" s="150" t="s">
        <v>7</v>
      </c>
      <c r="C60" s="129"/>
      <c r="D60" s="150" t="s">
        <v>156</v>
      </c>
      <c r="E60" s="131"/>
      <c r="F60" s="129"/>
      <c r="G60" s="39" t="s">
        <v>153</v>
      </c>
      <c r="H60" s="38">
        <v>5550</v>
      </c>
      <c r="K60" s="41" t="str">
        <f t="shared" si="0"/>
        <v>EA Essentials|SUV / MUV|Semi-Synthetic</v>
      </c>
    </row>
    <row r="61" spans="2:11" ht="15" customHeight="1" x14ac:dyDescent="0.3">
      <c r="B61" s="150" t="s">
        <v>7</v>
      </c>
      <c r="C61" s="129"/>
      <c r="D61" s="150" t="s">
        <v>156</v>
      </c>
      <c r="E61" s="131"/>
      <c r="F61" s="129"/>
      <c r="G61" s="39" t="s">
        <v>11</v>
      </c>
      <c r="H61" s="38">
        <v>7925</v>
      </c>
      <c r="K61" s="41" t="str">
        <f t="shared" si="0"/>
        <v>EA Essentials|SUV / MUV|Fully-Synthetic</v>
      </c>
    </row>
    <row r="62" spans="2:11" ht="15" customHeight="1" x14ac:dyDescent="0.3">
      <c r="B62" s="150" t="s">
        <v>7</v>
      </c>
      <c r="C62" s="129"/>
      <c r="D62" s="150" t="s">
        <v>159</v>
      </c>
      <c r="E62" s="131"/>
      <c r="F62" s="129"/>
      <c r="G62" s="39" t="s">
        <v>11</v>
      </c>
      <c r="H62" s="38">
        <v>8600</v>
      </c>
      <c r="K62" s="41" t="str">
        <f t="shared" si="0"/>
        <v>EA Essentials|Premium SUV|Fully-Synthetic</v>
      </c>
    </row>
    <row r="63" spans="2:11" ht="15" customHeight="1" x14ac:dyDescent="0.3">
      <c r="B63" s="150" t="s">
        <v>7</v>
      </c>
      <c r="C63" s="129"/>
      <c r="D63" s="150" t="s">
        <v>8</v>
      </c>
      <c r="E63" s="131"/>
      <c r="F63" s="129"/>
      <c r="G63" s="39" t="s">
        <v>11</v>
      </c>
      <c r="H63" s="38">
        <v>14750</v>
      </c>
      <c r="K63" s="41" t="str">
        <f t="shared" si="0"/>
        <v>EA Essentials|Premium Luxury - Class 1|Fully-Synthetic</v>
      </c>
    </row>
    <row r="64" spans="2:11" ht="15" customHeight="1" x14ac:dyDescent="0.3">
      <c r="B64" s="150" t="s">
        <v>7</v>
      </c>
      <c r="C64" s="129"/>
      <c r="D64" s="150" t="s">
        <v>8</v>
      </c>
      <c r="E64" s="131"/>
      <c r="F64" s="129"/>
      <c r="G64" s="39" t="s">
        <v>157</v>
      </c>
      <c r="H64" s="38">
        <v>21500</v>
      </c>
      <c r="K64" s="41" t="str">
        <f t="shared" si="0"/>
        <v>EA Essentials|Premium Luxury - Class 1|Triple-Synthetic</v>
      </c>
    </row>
    <row r="65" spans="2:11" ht="15" customHeight="1" x14ac:dyDescent="0.3">
      <c r="B65" s="150" t="s">
        <v>7</v>
      </c>
      <c r="C65" s="129"/>
      <c r="D65" s="150" t="s">
        <v>161</v>
      </c>
      <c r="E65" s="131"/>
      <c r="F65" s="129"/>
      <c r="G65" s="39" t="s">
        <v>11</v>
      </c>
      <c r="H65" s="38">
        <v>12750</v>
      </c>
      <c r="K65" s="41" t="str">
        <f t="shared" si="0"/>
        <v>EA Essentials|Premium Luxury - Class 2|Fully-Synthetic</v>
      </c>
    </row>
    <row r="66" spans="2:11" ht="15" customHeight="1" x14ac:dyDescent="0.3">
      <c r="B66" s="150" t="s">
        <v>7</v>
      </c>
      <c r="C66" s="129"/>
      <c r="D66" s="150" t="s">
        <v>161</v>
      </c>
      <c r="E66" s="131"/>
      <c r="F66" s="129"/>
      <c r="G66" s="39" t="s">
        <v>157</v>
      </c>
      <c r="H66" s="38">
        <v>19500</v>
      </c>
      <c r="K66" s="41" t="str">
        <f t="shared" si="0"/>
        <v>EA Essentials|Premium Luxury - Class 2|Triple-Synthetic</v>
      </c>
    </row>
    <row r="67" spans="2:11" ht="15" customHeight="1" x14ac:dyDescent="0.3">
      <c r="B67" s="150" t="s">
        <v>7</v>
      </c>
      <c r="C67" s="129"/>
      <c r="D67" s="150" t="s">
        <v>162</v>
      </c>
      <c r="E67" s="131"/>
      <c r="F67" s="129"/>
      <c r="G67" s="39" t="s">
        <v>11</v>
      </c>
      <c r="H67" s="38">
        <v>10750</v>
      </c>
      <c r="K67" s="41" t="str">
        <f t="shared" si="0"/>
        <v>EA Essentials|Premium Luxury - Class 3|Fully-Synthetic</v>
      </c>
    </row>
    <row r="68" spans="2:11" ht="15" customHeight="1" x14ac:dyDescent="0.3">
      <c r="B68" s="150" t="s">
        <v>7</v>
      </c>
      <c r="C68" s="129"/>
      <c r="D68" s="150" t="s">
        <v>162</v>
      </c>
      <c r="E68" s="131"/>
      <c r="F68" s="129"/>
      <c r="G68" s="39" t="s">
        <v>157</v>
      </c>
      <c r="H68" s="38">
        <v>17500</v>
      </c>
      <c r="K68" s="41" t="str">
        <f t="shared" si="0"/>
        <v>EA Essentials|Premium Luxury - Class 3|Triple-Synthetic</v>
      </c>
    </row>
    <row r="69" spans="2:11" ht="15" customHeight="1" x14ac:dyDescent="0.3">
      <c r="B69" s="150" t="s">
        <v>155</v>
      </c>
      <c r="C69" s="129"/>
      <c r="D69" s="150" t="s">
        <v>152</v>
      </c>
      <c r="E69" s="131"/>
      <c r="F69" s="129"/>
      <c r="G69" s="39" t="s">
        <v>153</v>
      </c>
      <c r="H69" s="38">
        <v>5200</v>
      </c>
      <c r="K69" s="41" t="str">
        <f t="shared" si="0"/>
        <v>EA Pro|Hatchback|Semi-Synthetic</v>
      </c>
    </row>
    <row r="70" spans="2:11" ht="15" customHeight="1" x14ac:dyDescent="0.3">
      <c r="B70" s="150" t="s">
        <v>155</v>
      </c>
      <c r="C70" s="129"/>
      <c r="D70" s="150" t="s">
        <v>152</v>
      </c>
      <c r="E70" s="131"/>
      <c r="F70" s="129"/>
      <c r="G70" s="39" t="s">
        <v>11</v>
      </c>
      <c r="H70" s="38">
        <v>6425</v>
      </c>
      <c r="K70" s="41" t="str">
        <f t="shared" si="0"/>
        <v>EA Pro|Hatchback|Fully-Synthetic</v>
      </c>
    </row>
    <row r="71" spans="2:11" ht="15" customHeight="1" x14ac:dyDescent="0.3">
      <c r="B71" s="150" t="s">
        <v>155</v>
      </c>
      <c r="C71" s="129"/>
      <c r="D71" s="150" t="s">
        <v>154</v>
      </c>
      <c r="E71" s="131"/>
      <c r="F71" s="129"/>
      <c r="G71" s="39" t="s">
        <v>153</v>
      </c>
      <c r="H71" s="38">
        <v>5725</v>
      </c>
      <c r="K71" s="41" t="str">
        <f t="shared" si="0"/>
        <v>EA Pro|Prem. Hatch / Sedan / Compact SUV|Semi-Synthetic</v>
      </c>
    </row>
    <row r="72" spans="2:11" ht="15" customHeight="1" x14ac:dyDescent="0.3">
      <c r="B72" s="150" t="s">
        <v>155</v>
      </c>
      <c r="C72" s="129"/>
      <c r="D72" s="150" t="s">
        <v>154</v>
      </c>
      <c r="E72" s="131"/>
      <c r="F72" s="129"/>
      <c r="G72" s="39" t="s">
        <v>11</v>
      </c>
      <c r="H72" s="38">
        <v>7525</v>
      </c>
      <c r="K72" s="41" t="str">
        <f t="shared" si="0"/>
        <v>EA Pro|Prem. Hatch / Sedan / Compact SUV|Fully-Synthetic</v>
      </c>
    </row>
    <row r="73" spans="2:11" ht="15" customHeight="1" x14ac:dyDescent="0.3">
      <c r="B73" s="150" t="s">
        <v>155</v>
      </c>
      <c r="C73" s="129"/>
      <c r="D73" s="150" t="s">
        <v>156</v>
      </c>
      <c r="E73" s="131"/>
      <c r="F73" s="129"/>
      <c r="G73" s="39" t="s">
        <v>153</v>
      </c>
      <c r="H73" s="38">
        <v>7950</v>
      </c>
      <c r="K73" s="41" t="str">
        <f t="shared" si="0"/>
        <v>EA Pro|SUV / MUV|Semi-Synthetic</v>
      </c>
    </row>
    <row r="74" spans="2:11" ht="15" customHeight="1" x14ac:dyDescent="0.3">
      <c r="B74" s="150" t="s">
        <v>155</v>
      </c>
      <c r="C74" s="129"/>
      <c r="D74" s="150" t="s">
        <v>156</v>
      </c>
      <c r="E74" s="131"/>
      <c r="F74" s="129"/>
      <c r="G74" s="39" t="s">
        <v>11</v>
      </c>
      <c r="H74" s="38">
        <v>10325</v>
      </c>
      <c r="K74" s="41" t="str">
        <f t="shared" si="0"/>
        <v>EA Pro|SUV / MUV|Fully-Synthetic</v>
      </c>
    </row>
    <row r="75" spans="2:11" ht="15" customHeight="1" x14ac:dyDescent="0.3">
      <c r="B75" s="150" t="s">
        <v>155</v>
      </c>
      <c r="C75" s="129"/>
      <c r="D75" s="150" t="s">
        <v>159</v>
      </c>
      <c r="E75" s="131"/>
      <c r="F75" s="129"/>
      <c r="G75" s="39" t="s">
        <v>11</v>
      </c>
      <c r="H75" s="38">
        <v>11000</v>
      </c>
      <c r="K75" s="41" t="str">
        <f t="shared" ref="K75:K107" si="1">B75&amp;"|"&amp;D75&amp;"|"&amp;G75</f>
        <v>EA Pro|Premium SUV|Fully-Synthetic</v>
      </c>
    </row>
    <row r="76" spans="2:11" ht="15" customHeight="1" x14ac:dyDescent="0.3">
      <c r="B76" s="150" t="s">
        <v>155</v>
      </c>
      <c r="C76" s="129"/>
      <c r="D76" s="150" t="s">
        <v>8</v>
      </c>
      <c r="E76" s="131"/>
      <c r="F76" s="129"/>
      <c r="G76" s="39" t="s">
        <v>11</v>
      </c>
      <c r="H76" s="38">
        <v>19000</v>
      </c>
      <c r="K76" s="41" t="str">
        <f t="shared" si="1"/>
        <v>EA Pro|Premium Luxury - Class 1|Fully-Synthetic</v>
      </c>
    </row>
    <row r="77" spans="2:11" ht="15" customHeight="1" x14ac:dyDescent="0.3">
      <c r="B77" s="150" t="s">
        <v>155</v>
      </c>
      <c r="C77" s="129"/>
      <c r="D77" s="150" t="s">
        <v>8</v>
      </c>
      <c r="E77" s="131"/>
      <c r="F77" s="129"/>
      <c r="G77" s="39" t="s">
        <v>157</v>
      </c>
      <c r="H77" s="38">
        <v>25700</v>
      </c>
      <c r="K77" s="41" t="str">
        <f t="shared" si="1"/>
        <v>EA Pro|Premium Luxury - Class 1|Triple-Synthetic</v>
      </c>
    </row>
    <row r="78" spans="2:11" ht="15" customHeight="1" x14ac:dyDescent="0.3">
      <c r="B78" s="150" t="s">
        <v>155</v>
      </c>
      <c r="C78" s="129"/>
      <c r="D78" s="150" t="s">
        <v>161</v>
      </c>
      <c r="E78" s="131"/>
      <c r="F78" s="129"/>
      <c r="G78" s="39" t="s">
        <v>11</v>
      </c>
      <c r="H78" s="38">
        <v>17000</v>
      </c>
      <c r="K78" s="41" t="str">
        <f t="shared" si="1"/>
        <v>EA Pro|Premium Luxury - Class 2|Fully-Synthetic</v>
      </c>
    </row>
    <row r="79" spans="2:11" ht="15" customHeight="1" x14ac:dyDescent="0.3">
      <c r="B79" s="150" t="s">
        <v>155</v>
      </c>
      <c r="C79" s="129"/>
      <c r="D79" s="150" t="s">
        <v>161</v>
      </c>
      <c r="E79" s="131"/>
      <c r="F79" s="129"/>
      <c r="G79" s="39" t="s">
        <v>157</v>
      </c>
      <c r="H79" s="38">
        <v>23700</v>
      </c>
      <c r="K79" s="41" t="str">
        <f t="shared" si="1"/>
        <v>EA Pro|Premium Luxury - Class 2|Triple-Synthetic</v>
      </c>
    </row>
    <row r="80" spans="2:11" ht="15" customHeight="1" x14ac:dyDescent="0.3">
      <c r="B80" s="150" t="s">
        <v>155</v>
      </c>
      <c r="C80" s="129"/>
      <c r="D80" s="150" t="s">
        <v>162</v>
      </c>
      <c r="E80" s="131"/>
      <c r="F80" s="129"/>
      <c r="G80" s="39" t="s">
        <v>11</v>
      </c>
      <c r="H80" s="38">
        <v>15000</v>
      </c>
      <c r="K80" s="41" t="str">
        <f t="shared" si="1"/>
        <v>EA Pro|Premium Luxury - Class 3|Fully-Synthetic</v>
      </c>
    </row>
    <row r="81" spans="2:11" ht="15" customHeight="1" x14ac:dyDescent="0.3">
      <c r="B81" s="150" t="s">
        <v>155</v>
      </c>
      <c r="C81" s="129"/>
      <c r="D81" s="150" t="s">
        <v>162</v>
      </c>
      <c r="E81" s="131"/>
      <c r="F81" s="129"/>
      <c r="G81" s="39" t="s">
        <v>157</v>
      </c>
      <c r="H81" s="38">
        <v>21700</v>
      </c>
      <c r="K81" s="41" t="str">
        <f t="shared" si="1"/>
        <v>EA Pro|Premium Luxury - Class 3|Triple-Synthetic</v>
      </c>
    </row>
    <row r="82" spans="2:11" ht="15" customHeight="1" x14ac:dyDescent="0.3">
      <c r="B82" s="150" t="s">
        <v>158</v>
      </c>
      <c r="C82" s="129"/>
      <c r="D82" s="150" t="s">
        <v>152</v>
      </c>
      <c r="E82" s="131"/>
      <c r="F82" s="129"/>
      <c r="G82" s="39" t="s">
        <v>153</v>
      </c>
      <c r="H82" s="38">
        <v>7200</v>
      </c>
      <c r="K82" s="41" t="str">
        <f t="shared" si="1"/>
        <v>EA 360|Hatchback|Semi-Synthetic</v>
      </c>
    </row>
    <row r="83" spans="2:11" ht="15" customHeight="1" x14ac:dyDescent="0.3">
      <c r="B83" s="150" t="s">
        <v>158</v>
      </c>
      <c r="C83" s="129"/>
      <c r="D83" s="150" t="s">
        <v>152</v>
      </c>
      <c r="E83" s="131"/>
      <c r="F83" s="129"/>
      <c r="G83" s="39" t="s">
        <v>11</v>
      </c>
      <c r="H83" s="38">
        <v>8375</v>
      </c>
      <c r="K83" s="41" t="str">
        <f t="shared" si="1"/>
        <v>EA 360|Hatchback|Fully-Synthetic</v>
      </c>
    </row>
    <row r="84" spans="2:11" ht="15" customHeight="1" x14ac:dyDescent="0.3">
      <c r="B84" s="150" t="s">
        <v>158</v>
      </c>
      <c r="C84" s="129"/>
      <c r="D84" s="150" t="s">
        <v>154</v>
      </c>
      <c r="E84" s="131"/>
      <c r="F84" s="129"/>
      <c r="G84" s="39" t="s">
        <v>153</v>
      </c>
      <c r="H84" s="38">
        <v>8025</v>
      </c>
      <c r="K84" s="41" t="str">
        <f t="shared" si="1"/>
        <v>EA 360|Prem. Hatch / Sedan / Compact SUV|Semi-Synthetic</v>
      </c>
    </row>
    <row r="85" spans="2:11" ht="15" customHeight="1" x14ac:dyDescent="0.3">
      <c r="B85" s="150" t="s">
        <v>158</v>
      </c>
      <c r="C85" s="129"/>
      <c r="D85" s="150" t="s">
        <v>154</v>
      </c>
      <c r="E85" s="131"/>
      <c r="F85" s="129"/>
      <c r="G85" s="39" t="s">
        <v>11</v>
      </c>
      <c r="H85" s="38">
        <v>9575</v>
      </c>
      <c r="K85" s="41" t="str">
        <f t="shared" si="1"/>
        <v>EA 360|Prem. Hatch / Sedan / Compact SUV|Fully-Synthetic</v>
      </c>
    </row>
    <row r="86" spans="2:11" ht="15" customHeight="1" x14ac:dyDescent="0.3">
      <c r="B86" s="150" t="s">
        <v>158</v>
      </c>
      <c r="C86" s="129"/>
      <c r="D86" s="150" t="s">
        <v>156</v>
      </c>
      <c r="E86" s="131"/>
      <c r="F86" s="129"/>
      <c r="G86" s="39" t="s">
        <v>153</v>
      </c>
      <c r="H86" s="38">
        <v>10800</v>
      </c>
      <c r="K86" s="41" t="str">
        <f t="shared" si="1"/>
        <v>EA 360|SUV / MUV|Semi-Synthetic</v>
      </c>
    </row>
    <row r="87" spans="2:11" ht="15" customHeight="1" x14ac:dyDescent="0.3">
      <c r="B87" s="150" t="s">
        <v>158</v>
      </c>
      <c r="C87" s="129"/>
      <c r="D87" s="150" t="s">
        <v>156</v>
      </c>
      <c r="E87" s="131"/>
      <c r="F87" s="129"/>
      <c r="G87" s="39" t="s">
        <v>11</v>
      </c>
      <c r="H87" s="38">
        <v>13175</v>
      </c>
      <c r="K87" s="41" t="str">
        <f t="shared" si="1"/>
        <v>EA 360|SUV / MUV|Fully-Synthetic</v>
      </c>
    </row>
    <row r="88" spans="2:11" ht="15" customHeight="1" x14ac:dyDescent="0.3">
      <c r="B88" s="150" t="s">
        <v>158</v>
      </c>
      <c r="C88" s="129"/>
      <c r="D88" s="150" t="s">
        <v>159</v>
      </c>
      <c r="E88" s="131"/>
      <c r="F88" s="129"/>
      <c r="G88" s="39" t="s">
        <v>11</v>
      </c>
      <c r="H88" s="38">
        <v>13175</v>
      </c>
      <c r="K88" s="41" t="str">
        <f t="shared" si="1"/>
        <v>EA 360|Premium SUV|Fully-Synthetic</v>
      </c>
    </row>
    <row r="89" spans="2:11" ht="15" customHeight="1" x14ac:dyDescent="0.3">
      <c r="B89" s="150" t="s">
        <v>158</v>
      </c>
      <c r="C89" s="129"/>
      <c r="D89" s="150" t="s">
        <v>8</v>
      </c>
      <c r="E89" s="131"/>
      <c r="F89" s="129"/>
      <c r="G89" s="39" t="s">
        <v>11</v>
      </c>
      <c r="H89" s="38">
        <v>23250</v>
      </c>
      <c r="K89" s="41" t="str">
        <f t="shared" si="1"/>
        <v>EA 360|Premium Luxury - Class 1|Fully-Synthetic</v>
      </c>
    </row>
    <row r="90" spans="2:11" ht="15" customHeight="1" x14ac:dyDescent="0.3">
      <c r="B90" s="150" t="s">
        <v>158</v>
      </c>
      <c r="C90" s="129"/>
      <c r="D90" s="150" t="s">
        <v>8</v>
      </c>
      <c r="E90" s="131"/>
      <c r="F90" s="129"/>
      <c r="G90" s="39" t="s">
        <v>157</v>
      </c>
      <c r="H90" s="38">
        <v>30000</v>
      </c>
      <c r="K90" s="41" t="str">
        <f t="shared" si="1"/>
        <v>EA 360|Premium Luxury - Class 1|Triple-Synthetic</v>
      </c>
    </row>
    <row r="91" spans="2:11" ht="15" customHeight="1" x14ac:dyDescent="0.3">
      <c r="B91" s="150" t="s">
        <v>158</v>
      </c>
      <c r="C91" s="129"/>
      <c r="D91" s="150" t="s">
        <v>161</v>
      </c>
      <c r="E91" s="131"/>
      <c r="F91" s="129"/>
      <c r="G91" s="39" t="s">
        <v>11</v>
      </c>
      <c r="H91" s="38">
        <v>21250</v>
      </c>
      <c r="K91" s="41" t="str">
        <f t="shared" si="1"/>
        <v>EA 360|Premium Luxury - Class 2|Fully-Synthetic</v>
      </c>
    </row>
    <row r="92" spans="2:11" ht="15" customHeight="1" x14ac:dyDescent="0.3">
      <c r="B92" s="150" t="s">
        <v>158</v>
      </c>
      <c r="C92" s="129"/>
      <c r="D92" s="150" t="s">
        <v>161</v>
      </c>
      <c r="E92" s="131"/>
      <c r="F92" s="129"/>
      <c r="G92" s="39" t="s">
        <v>157</v>
      </c>
      <c r="H92" s="38">
        <v>28000</v>
      </c>
      <c r="K92" s="41" t="str">
        <f t="shared" si="1"/>
        <v>EA 360|Premium Luxury - Class 2|Triple-Synthetic</v>
      </c>
    </row>
    <row r="93" spans="2:11" ht="15" customHeight="1" x14ac:dyDescent="0.3">
      <c r="B93" s="150" t="s">
        <v>158</v>
      </c>
      <c r="C93" s="129"/>
      <c r="D93" s="150" t="s">
        <v>162</v>
      </c>
      <c r="E93" s="131"/>
      <c r="F93" s="129"/>
      <c r="G93" s="39" t="s">
        <v>11</v>
      </c>
      <c r="H93" s="38">
        <v>19250</v>
      </c>
      <c r="K93" s="41" t="str">
        <f t="shared" si="1"/>
        <v>EA 360|Premium Luxury - Class 3|Fully-Synthetic</v>
      </c>
    </row>
    <row r="94" spans="2:11" ht="15" customHeight="1" x14ac:dyDescent="0.3">
      <c r="B94" s="150" t="s">
        <v>158</v>
      </c>
      <c r="C94" s="129"/>
      <c r="D94" s="150" t="s">
        <v>162</v>
      </c>
      <c r="E94" s="131"/>
      <c r="F94" s="129"/>
      <c r="G94" s="39" t="s">
        <v>157</v>
      </c>
      <c r="H94" s="38">
        <v>26000</v>
      </c>
      <c r="K94" s="41" t="str">
        <f t="shared" si="1"/>
        <v>EA 360|Premium Luxury - Class 3|Triple-Synthetic</v>
      </c>
    </row>
    <row r="95" spans="2:11" ht="15" customHeight="1" x14ac:dyDescent="0.3">
      <c r="B95" s="150" t="s">
        <v>160</v>
      </c>
      <c r="C95" s="129"/>
      <c r="D95" s="150" t="s">
        <v>152</v>
      </c>
      <c r="E95" s="131"/>
      <c r="F95" s="129"/>
      <c r="G95" s="39" t="s">
        <v>153</v>
      </c>
      <c r="H95" s="38">
        <v>11300</v>
      </c>
      <c r="K95" s="41" t="str">
        <f t="shared" si="1"/>
        <v>EA Elite|Hatchback|Semi-Synthetic</v>
      </c>
    </row>
    <row r="96" spans="2:11" ht="15" customHeight="1" x14ac:dyDescent="0.3">
      <c r="B96" s="150" t="s">
        <v>160</v>
      </c>
      <c r="C96" s="129"/>
      <c r="D96" s="150" t="s">
        <v>152</v>
      </c>
      <c r="E96" s="131"/>
      <c r="F96" s="129"/>
      <c r="G96" s="39" t="s">
        <v>11</v>
      </c>
      <c r="H96" s="38">
        <v>12350</v>
      </c>
      <c r="K96" s="41" t="str">
        <f t="shared" si="1"/>
        <v>EA Elite|Hatchback|Fully-Synthetic</v>
      </c>
    </row>
    <row r="97" spans="2:11" ht="15" customHeight="1" x14ac:dyDescent="0.3">
      <c r="B97" s="150" t="s">
        <v>160</v>
      </c>
      <c r="C97" s="129"/>
      <c r="D97" s="150" t="s">
        <v>154</v>
      </c>
      <c r="E97" s="131"/>
      <c r="F97" s="129"/>
      <c r="G97" s="39" t="s">
        <v>153</v>
      </c>
      <c r="H97" s="38">
        <v>13150</v>
      </c>
      <c r="K97" s="41" t="str">
        <f t="shared" si="1"/>
        <v>EA Elite|Prem. Hatch / Sedan / Compact SUV|Semi-Synthetic</v>
      </c>
    </row>
    <row r="98" spans="2:11" ht="15" customHeight="1" x14ac:dyDescent="0.3">
      <c r="B98" s="150" t="s">
        <v>160</v>
      </c>
      <c r="C98" s="129"/>
      <c r="D98" s="150" t="s">
        <v>154</v>
      </c>
      <c r="E98" s="131"/>
      <c r="F98" s="129"/>
      <c r="G98" s="39" t="s">
        <v>11</v>
      </c>
      <c r="H98" s="38">
        <v>14500</v>
      </c>
      <c r="K98" s="41" t="str">
        <f t="shared" si="1"/>
        <v>EA Elite|Prem. Hatch / Sedan / Compact SUV|Fully-Synthetic</v>
      </c>
    </row>
    <row r="99" spans="2:11" ht="15" customHeight="1" x14ac:dyDescent="0.3">
      <c r="B99" s="150" t="s">
        <v>160</v>
      </c>
      <c r="C99" s="129"/>
      <c r="D99" s="150" t="s">
        <v>156</v>
      </c>
      <c r="E99" s="131"/>
      <c r="F99" s="129"/>
      <c r="G99" s="39" t="s">
        <v>153</v>
      </c>
      <c r="H99" s="38">
        <v>16700</v>
      </c>
      <c r="K99" s="41" t="str">
        <f t="shared" si="1"/>
        <v>EA Elite|SUV / MUV|Semi-Synthetic</v>
      </c>
    </row>
    <row r="100" spans="2:11" ht="15" customHeight="1" x14ac:dyDescent="0.3">
      <c r="B100" s="150" t="s">
        <v>160</v>
      </c>
      <c r="C100" s="129"/>
      <c r="D100" s="150" t="s">
        <v>156</v>
      </c>
      <c r="E100" s="131"/>
      <c r="F100" s="129"/>
      <c r="G100" s="39" t="s">
        <v>11</v>
      </c>
      <c r="H100" s="38">
        <v>18800</v>
      </c>
      <c r="K100" s="41" t="str">
        <f t="shared" si="1"/>
        <v>EA Elite|SUV / MUV|Fully-Synthetic</v>
      </c>
    </row>
    <row r="101" spans="2:11" ht="15" customHeight="1" x14ac:dyDescent="0.3">
      <c r="B101" s="150" t="s">
        <v>160</v>
      </c>
      <c r="C101" s="129"/>
      <c r="D101" s="150" t="s">
        <v>159</v>
      </c>
      <c r="E101" s="131"/>
      <c r="F101" s="129"/>
      <c r="G101" s="39" t="s">
        <v>11</v>
      </c>
      <c r="H101" s="38">
        <v>20500</v>
      </c>
      <c r="K101" s="41" t="str">
        <f t="shared" si="1"/>
        <v>EA Elite|Premium SUV|Fully-Synthetic</v>
      </c>
    </row>
    <row r="102" spans="2:11" ht="15" customHeight="1" x14ac:dyDescent="0.3">
      <c r="B102" s="150" t="s">
        <v>160</v>
      </c>
      <c r="C102" s="129"/>
      <c r="D102" s="150" t="s">
        <v>8</v>
      </c>
      <c r="E102" s="131"/>
      <c r="F102" s="129"/>
      <c r="G102" s="39" t="s">
        <v>11</v>
      </c>
      <c r="H102" s="38">
        <v>29750</v>
      </c>
      <c r="K102" s="41" t="str">
        <f t="shared" si="1"/>
        <v>EA Elite|Premium Luxury - Class 1|Fully-Synthetic</v>
      </c>
    </row>
    <row r="103" spans="2:11" ht="15" customHeight="1" x14ac:dyDescent="0.3">
      <c r="B103" s="150" t="s">
        <v>160</v>
      </c>
      <c r="C103" s="129"/>
      <c r="D103" s="150" t="s">
        <v>8</v>
      </c>
      <c r="E103" s="131"/>
      <c r="F103" s="129"/>
      <c r="G103" s="39" t="s">
        <v>157</v>
      </c>
      <c r="H103" s="38">
        <v>36500</v>
      </c>
      <c r="K103" s="41" t="str">
        <f t="shared" si="1"/>
        <v>EA Elite|Premium Luxury - Class 1|Triple-Synthetic</v>
      </c>
    </row>
    <row r="104" spans="2:11" ht="15" customHeight="1" x14ac:dyDescent="0.3">
      <c r="B104" s="150" t="s">
        <v>160</v>
      </c>
      <c r="C104" s="129"/>
      <c r="D104" s="150" t="s">
        <v>161</v>
      </c>
      <c r="E104" s="131"/>
      <c r="F104" s="129"/>
      <c r="G104" s="39" t="s">
        <v>11</v>
      </c>
      <c r="H104" s="38">
        <v>27750</v>
      </c>
      <c r="K104" s="41" t="str">
        <f t="shared" si="1"/>
        <v>EA Elite|Premium Luxury - Class 2|Fully-Synthetic</v>
      </c>
    </row>
    <row r="105" spans="2:11" ht="15" customHeight="1" x14ac:dyDescent="0.3">
      <c r="B105" s="150" t="s">
        <v>160</v>
      </c>
      <c r="C105" s="129"/>
      <c r="D105" s="150" t="s">
        <v>161</v>
      </c>
      <c r="E105" s="131"/>
      <c r="F105" s="129"/>
      <c r="G105" s="39" t="s">
        <v>157</v>
      </c>
      <c r="H105" s="38">
        <v>34500</v>
      </c>
      <c r="K105" s="41" t="str">
        <f t="shared" si="1"/>
        <v>EA Elite|Premium Luxury - Class 2|Triple-Synthetic</v>
      </c>
    </row>
    <row r="106" spans="2:11" ht="15" customHeight="1" x14ac:dyDescent="0.3">
      <c r="B106" s="150" t="s">
        <v>160</v>
      </c>
      <c r="C106" s="129"/>
      <c r="D106" s="150" t="s">
        <v>162</v>
      </c>
      <c r="E106" s="131"/>
      <c r="F106" s="129"/>
      <c r="G106" s="39" t="s">
        <v>11</v>
      </c>
      <c r="H106" s="38">
        <v>25750</v>
      </c>
      <c r="K106" s="41" t="str">
        <f t="shared" si="1"/>
        <v>EA Elite|Premium Luxury - Class 3|Fully-Synthetic</v>
      </c>
    </row>
    <row r="107" spans="2:11" ht="15" customHeight="1" x14ac:dyDescent="0.3">
      <c r="B107" s="150" t="s">
        <v>160</v>
      </c>
      <c r="C107" s="129"/>
      <c r="D107" s="150" t="s">
        <v>162</v>
      </c>
      <c r="E107" s="131"/>
      <c r="F107" s="129"/>
      <c r="G107" s="39" t="s">
        <v>157</v>
      </c>
      <c r="H107" s="38">
        <v>32500</v>
      </c>
      <c r="K107" s="41" t="str">
        <f t="shared" si="1"/>
        <v>EA Elite|Premium Luxury - Class 3|Triple-Synthetic</v>
      </c>
    </row>
  </sheetData>
  <sheetProtection algorithmName="SHA-512" hashValue="062T4NXQbmAuxgqQMLQip1HtOuwhbWv6oUY9yWFIj5IXJx5qQbSNkaEojCyc14mYur5tqfGlMdhBVdxb5spBVg==" saltValue="KwsENwzAapvGjVhLdfcXrQ==" spinCount="100000" sheet="1" objects="1" scenarios="1"/>
  <mergeCells count="174">
    <mergeCell ref="D105:F105"/>
    <mergeCell ref="B106:C106"/>
    <mergeCell ref="D57:F57"/>
    <mergeCell ref="B90:C90"/>
    <mergeCell ref="D9:F9"/>
    <mergeCell ref="D92:F92"/>
    <mergeCell ref="B31:E31"/>
    <mergeCell ref="B69:C69"/>
    <mergeCell ref="G34:H34"/>
    <mergeCell ref="B78:C78"/>
    <mergeCell ref="D94:F94"/>
    <mergeCell ref="B49:C49"/>
    <mergeCell ref="B55:C55"/>
    <mergeCell ref="B64:C64"/>
    <mergeCell ref="B16:C16"/>
    <mergeCell ref="B91:C91"/>
    <mergeCell ref="B100:C100"/>
    <mergeCell ref="D11:F11"/>
    <mergeCell ref="D76:F76"/>
    <mergeCell ref="D66:F66"/>
    <mergeCell ref="B93:C93"/>
    <mergeCell ref="D75:F75"/>
    <mergeCell ref="B102:C102"/>
    <mergeCell ref="D53:F53"/>
    <mergeCell ref="D103:F103"/>
    <mergeCell ref="B104:C104"/>
    <mergeCell ref="D80:F80"/>
    <mergeCell ref="B51:C51"/>
    <mergeCell ref="B38:E38"/>
    <mergeCell ref="D96:F96"/>
    <mergeCell ref="B63:C63"/>
    <mergeCell ref="D47:F47"/>
    <mergeCell ref="B77:C77"/>
    <mergeCell ref="B86:C86"/>
    <mergeCell ref="B41:H41"/>
    <mergeCell ref="D102:F102"/>
    <mergeCell ref="B67:C67"/>
    <mergeCell ref="B61:C61"/>
    <mergeCell ref="B101:C101"/>
    <mergeCell ref="D71:F71"/>
    <mergeCell ref="B42:C42"/>
    <mergeCell ref="D58:F58"/>
    <mergeCell ref="B72:C72"/>
    <mergeCell ref="B81:C81"/>
    <mergeCell ref="D97:F97"/>
    <mergeCell ref="D93:F93"/>
    <mergeCell ref="D74:F74"/>
    <mergeCell ref="D68:F68"/>
    <mergeCell ref="D107:F107"/>
    <mergeCell ref="D24:G24"/>
    <mergeCell ref="B33:E33"/>
    <mergeCell ref="B66:C66"/>
    <mergeCell ref="B18:C18"/>
    <mergeCell ref="D91:F91"/>
    <mergeCell ref="D43:F43"/>
    <mergeCell ref="B32:E32"/>
    <mergeCell ref="D26:G26"/>
    <mergeCell ref="B35:E35"/>
    <mergeCell ref="D106:F106"/>
    <mergeCell ref="D104:F104"/>
    <mergeCell ref="B96:C96"/>
    <mergeCell ref="B105:C105"/>
    <mergeCell ref="B98:C98"/>
    <mergeCell ref="B107:C107"/>
    <mergeCell ref="B99:C99"/>
    <mergeCell ref="B92:C92"/>
    <mergeCell ref="D95:F95"/>
    <mergeCell ref="B97:C97"/>
    <mergeCell ref="B54:C54"/>
    <mergeCell ref="D99:F99"/>
    <mergeCell ref="B94:C94"/>
    <mergeCell ref="D101:F101"/>
    <mergeCell ref="B87:C87"/>
    <mergeCell ref="D50:F50"/>
    <mergeCell ref="D44:F44"/>
    <mergeCell ref="D83:F83"/>
    <mergeCell ref="B53:C53"/>
    <mergeCell ref="D55:F55"/>
    <mergeCell ref="D67:F67"/>
    <mergeCell ref="B30:H30"/>
    <mergeCell ref="D7:F7"/>
    <mergeCell ref="B56:C56"/>
    <mergeCell ref="B71:C71"/>
    <mergeCell ref="D78:F78"/>
    <mergeCell ref="B43:C43"/>
    <mergeCell ref="B58:C58"/>
    <mergeCell ref="G7:H7"/>
    <mergeCell ref="B17:C17"/>
    <mergeCell ref="B23:H23"/>
    <mergeCell ref="G32:H32"/>
    <mergeCell ref="B20:C20"/>
    <mergeCell ref="D59:F59"/>
    <mergeCell ref="D27:G27"/>
    <mergeCell ref="D84:F84"/>
    <mergeCell ref="B45:C45"/>
    <mergeCell ref="B85:C85"/>
    <mergeCell ref="D86:F86"/>
    <mergeCell ref="D70:F70"/>
    <mergeCell ref="D48:F48"/>
    <mergeCell ref="G36:H36"/>
    <mergeCell ref="D72:F72"/>
    <mergeCell ref="B70:C70"/>
    <mergeCell ref="B48:C48"/>
    <mergeCell ref="G38:H38"/>
    <mergeCell ref="B83:C83"/>
    <mergeCell ref="B73:C73"/>
    <mergeCell ref="D64:F64"/>
    <mergeCell ref="B103:C103"/>
    <mergeCell ref="G33:H33"/>
    <mergeCell ref="D85:F85"/>
    <mergeCell ref="D54:F54"/>
    <mergeCell ref="B84:C84"/>
    <mergeCell ref="D60:F60"/>
    <mergeCell ref="D69:F69"/>
    <mergeCell ref="D100:F100"/>
    <mergeCell ref="G35:H35"/>
    <mergeCell ref="B80:C80"/>
    <mergeCell ref="D46:F46"/>
    <mergeCell ref="B95:C95"/>
    <mergeCell ref="B89:C89"/>
    <mergeCell ref="B37:E37"/>
    <mergeCell ref="B79:C79"/>
    <mergeCell ref="B82:C82"/>
    <mergeCell ref="D73:F73"/>
    <mergeCell ref="D42:F42"/>
    <mergeCell ref="D51:F51"/>
    <mergeCell ref="D82:F82"/>
    <mergeCell ref="B44:C44"/>
    <mergeCell ref="D87:F87"/>
    <mergeCell ref="B52:C52"/>
    <mergeCell ref="B76:C76"/>
    <mergeCell ref="D89:F89"/>
    <mergeCell ref="D98:F98"/>
    <mergeCell ref="D79:F79"/>
    <mergeCell ref="G5:H5"/>
    <mergeCell ref="D88:F88"/>
    <mergeCell ref="B65:C65"/>
    <mergeCell ref="D63:F63"/>
    <mergeCell ref="D10:F10"/>
    <mergeCell ref="B74:C74"/>
    <mergeCell ref="D81:F81"/>
    <mergeCell ref="B68:C68"/>
    <mergeCell ref="D90:F90"/>
    <mergeCell ref="D6:F6"/>
    <mergeCell ref="D77:F77"/>
    <mergeCell ref="B75:C75"/>
    <mergeCell ref="B47:C47"/>
    <mergeCell ref="B62:C62"/>
    <mergeCell ref="B59:C59"/>
    <mergeCell ref="D25:G25"/>
    <mergeCell ref="D61:F61"/>
    <mergeCell ref="B46:C46"/>
    <mergeCell ref="D8:F8"/>
    <mergeCell ref="B57:C57"/>
    <mergeCell ref="B88:C88"/>
    <mergeCell ref="B1:H1"/>
    <mergeCell ref="D65:F65"/>
    <mergeCell ref="G31:H31"/>
    <mergeCell ref="B50:C50"/>
    <mergeCell ref="D52:F52"/>
    <mergeCell ref="D49:F49"/>
    <mergeCell ref="D4:F4"/>
    <mergeCell ref="D62:F62"/>
    <mergeCell ref="D56:F56"/>
    <mergeCell ref="G6:H6"/>
    <mergeCell ref="G4:H4"/>
    <mergeCell ref="B36:E36"/>
    <mergeCell ref="D5:F5"/>
    <mergeCell ref="B15:C15"/>
    <mergeCell ref="B19:C19"/>
    <mergeCell ref="D45:F45"/>
    <mergeCell ref="B34:E34"/>
    <mergeCell ref="G37:H37"/>
    <mergeCell ref="B60:C60"/>
  </mergeCell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3"/>
  <sheetViews>
    <sheetView showGridLines="0" topLeftCell="B14" zoomScaleNormal="100" workbookViewId="0">
      <selection activeCell="E28" sqref="E28"/>
    </sheetView>
  </sheetViews>
  <sheetFormatPr defaultColWidth="8.5546875" defaultRowHeight="14.25" customHeight="1" x14ac:dyDescent="0.3"/>
  <cols>
    <col min="2" max="2" width="12.109375" customWidth="1"/>
    <col min="3" max="3" width="33.6640625" customWidth="1"/>
    <col min="4" max="16" width="9" customWidth="1"/>
    <col min="17" max="17" width="13" hidden="1" customWidth="1"/>
  </cols>
  <sheetData>
    <row r="1" spans="2:17" ht="15" customHeight="1" x14ac:dyDescent="0.3">
      <c r="B1" s="149" t="s">
        <v>179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2:17" ht="14.25" customHeight="1" x14ac:dyDescent="0.3">
      <c r="B2" s="155" t="s">
        <v>180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</row>
    <row r="3" spans="2:17" ht="14.4" customHeight="1" x14ac:dyDescent="0.3"/>
    <row r="4" spans="2:17" ht="14.25" hidden="1" customHeight="1" x14ac:dyDescent="0.3">
      <c r="D4" s="41" t="s">
        <v>181</v>
      </c>
      <c r="E4" s="41" t="s">
        <v>182</v>
      </c>
      <c r="F4" s="41" t="s">
        <v>183</v>
      </c>
      <c r="G4" s="41" t="s">
        <v>184</v>
      </c>
      <c r="H4" s="41" t="s">
        <v>185</v>
      </c>
      <c r="I4" s="41" t="s">
        <v>186</v>
      </c>
      <c r="J4" s="41" t="s">
        <v>187</v>
      </c>
      <c r="K4" s="41" t="s">
        <v>188</v>
      </c>
      <c r="L4" s="41" t="s">
        <v>189</v>
      </c>
      <c r="M4" s="41" t="s">
        <v>190</v>
      </c>
      <c r="N4" s="41" t="s">
        <v>191</v>
      </c>
      <c r="O4" s="41" t="s">
        <v>192</v>
      </c>
      <c r="P4" s="41" t="s">
        <v>193</v>
      </c>
    </row>
    <row r="5" spans="2:17" ht="30" customHeight="1" x14ac:dyDescent="0.3">
      <c r="B5" s="9" t="s">
        <v>194</v>
      </c>
      <c r="C5" s="9" t="s">
        <v>13</v>
      </c>
      <c r="D5" s="42" t="s">
        <v>195</v>
      </c>
      <c r="E5" s="42" t="s">
        <v>196</v>
      </c>
      <c r="F5" s="42" t="s">
        <v>197</v>
      </c>
      <c r="G5" s="42" t="s">
        <v>198</v>
      </c>
      <c r="H5" s="42" t="s">
        <v>199</v>
      </c>
      <c r="I5" s="42" t="s">
        <v>200</v>
      </c>
      <c r="J5" s="42" t="s">
        <v>201</v>
      </c>
      <c r="K5" s="42" t="s">
        <v>202</v>
      </c>
      <c r="L5" s="42" t="s">
        <v>203</v>
      </c>
      <c r="M5" s="42" t="s">
        <v>204</v>
      </c>
      <c r="N5" s="42" t="s">
        <v>205</v>
      </c>
      <c r="O5" s="42" t="s">
        <v>206</v>
      </c>
      <c r="P5" s="42" t="s">
        <v>207</v>
      </c>
    </row>
    <row r="6" spans="2:17" ht="24.75" customHeight="1" x14ac:dyDescent="0.3">
      <c r="B6" s="39" t="s">
        <v>151</v>
      </c>
      <c r="C6" s="43" t="s">
        <v>208</v>
      </c>
      <c r="D6" s="44">
        <v>500</v>
      </c>
      <c r="E6" s="44">
        <v>500</v>
      </c>
      <c r="F6" s="44">
        <v>500</v>
      </c>
      <c r="G6" s="44">
        <v>500</v>
      </c>
      <c r="H6" s="44">
        <v>600</v>
      </c>
      <c r="I6" s="44">
        <v>600</v>
      </c>
      <c r="J6" s="44">
        <v>600</v>
      </c>
      <c r="K6" s="44">
        <v>800</v>
      </c>
      <c r="L6" s="44">
        <v>800</v>
      </c>
      <c r="M6" s="44">
        <v>800</v>
      </c>
      <c r="N6" s="44">
        <v>800</v>
      </c>
      <c r="O6" s="44">
        <v>800</v>
      </c>
      <c r="P6" s="44">
        <v>800</v>
      </c>
      <c r="Q6" s="41" t="str">
        <f>B6&amp;"|"&amp;1</f>
        <v>EA Refresh|1</v>
      </c>
    </row>
    <row r="7" spans="2:17" ht="14.25" customHeight="1" x14ac:dyDescent="0.3">
      <c r="B7" s="39" t="s">
        <v>7</v>
      </c>
      <c r="C7" s="45" t="s">
        <v>209</v>
      </c>
      <c r="D7" s="46">
        <v>150</v>
      </c>
      <c r="E7" s="46">
        <v>150</v>
      </c>
      <c r="F7" s="46">
        <v>250</v>
      </c>
      <c r="G7" s="46">
        <v>250</v>
      </c>
      <c r="H7" s="46">
        <v>400</v>
      </c>
      <c r="I7" s="46">
        <v>400</v>
      </c>
      <c r="J7" s="46">
        <v>500</v>
      </c>
      <c r="K7" s="46">
        <v>900</v>
      </c>
      <c r="L7" s="46">
        <v>900</v>
      </c>
      <c r="M7" s="46">
        <v>900</v>
      </c>
      <c r="N7" s="46">
        <v>900</v>
      </c>
      <c r="O7" s="46">
        <v>900</v>
      </c>
      <c r="P7" s="46">
        <v>900</v>
      </c>
      <c r="Q7" s="41" t="str">
        <f>B7&amp;"|"&amp;1</f>
        <v>EA Essentials|1</v>
      </c>
    </row>
    <row r="8" spans="2:17" ht="24.75" customHeight="1" x14ac:dyDescent="0.3">
      <c r="B8" s="39" t="s">
        <v>7</v>
      </c>
      <c r="C8" s="43" t="s">
        <v>208</v>
      </c>
      <c r="D8" s="44">
        <v>500</v>
      </c>
      <c r="E8" s="44">
        <v>500</v>
      </c>
      <c r="F8" s="44">
        <v>500</v>
      </c>
      <c r="G8" s="44">
        <v>500</v>
      </c>
      <c r="H8" s="44">
        <v>600</v>
      </c>
      <c r="I8" s="44">
        <v>600</v>
      </c>
      <c r="J8" s="44">
        <v>600</v>
      </c>
      <c r="K8" s="44">
        <v>800</v>
      </c>
      <c r="L8" s="44">
        <v>800</v>
      </c>
      <c r="M8" s="44">
        <v>800</v>
      </c>
      <c r="N8" s="44">
        <v>800</v>
      </c>
      <c r="O8" s="44">
        <v>800</v>
      </c>
      <c r="P8" s="44">
        <v>800</v>
      </c>
      <c r="Q8" s="41" t="str">
        <f>B8&amp;"|"&amp;2</f>
        <v>EA Essentials|2</v>
      </c>
    </row>
    <row r="9" spans="2:17" ht="14.25" customHeight="1" x14ac:dyDescent="0.3">
      <c r="B9" s="39" t="s">
        <v>7</v>
      </c>
      <c r="C9" s="47" t="s">
        <v>210</v>
      </c>
      <c r="D9" s="48">
        <v>400</v>
      </c>
      <c r="E9" s="48">
        <v>400</v>
      </c>
      <c r="F9" s="48">
        <v>400</v>
      </c>
      <c r="G9" s="48">
        <v>400</v>
      </c>
      <c r="H9" s="48">
        <v>500</v>
      </c>
      <c r="I9" s="48">
        <v>500</v>
      </c>
      <c r="J9" s="48">
        <v>500</v>
      </c>
      <c r="K9" s="48">
        <v>700</v>
      </c>
      <c r="L9" s="48">
        <v>700</v>
      </c>
      <c r="M9" s="48">
        <v>700</v>
      </c>
      <c r="N9" s="48">
        <v>700</v>
      </c>
      <c r="O9" s="48">
        <v>700</v>
      </c>
      <c r="P9" s="48">
        <v>700</v>
      </c>
      <c r="Q9" s="41" t="str">
        <f>B9&amp;"|"&amp;3</f>
        <v>EA Essentials|3</v>
      </c>
    </row>
    <row r="10" spans="2:17" ht="14.25" customHeight="1" x14ac:dyDescent="0.3">
      <c r="B10" s="39" t="s">
        <v>155</v>
      </c>
      <c r="C10" s="45" t="s">
        <v>209</v>
      </c>
      <c r="D10" s="46">
        <v>150</v>
      </c>
      <c r="E10" s="46">
        <v>150</v>
      </c>
      <c r="F10" s="46">
        <v>250</v>
      </c>
      <c r="G10" s="46">
        <v>250</v>
      </c>
      <c r="H10" s="46">
        <v>400</v>
      </c>
      <c r="I10" s="46">
        <v>400</v>
      </c>
      <c r="J10" s="46">
        <v>500</v>
      </c>
      <c r="K10" s="46">
        <v>900</v>
      </c>
      <c r="L10" s="46">
        <v>900</v>
      </c>
      <c r="M10" s="46">
        <v>900</v>
      </c>
      <c r="N10" s="46">
        <v>900</v>
      </c>
      <c r="O10" s="46">
        <v>900</v>
      </c>
      <c r="P10" s="46">
        <v>900</v>
      </c>
      <c r="Q10" s="41" t="str">
        <f>B10&amp;"|"&amp;1</f>
        <v>EA Pro|1</v>
      </c>
    </row>
    <row r="11" spans="2:17" ht="24.75" customHeight="1" x14ac:dyDescent="0.3">
      <c r="B11" s="39" t="s">
        <v>155</v>
      </c>
      <c r="C11" s="43" t="s">
        <v>208</v>
      </c>
      <c r="D11" s="44">
        <v>500</v>
      </c>
      <c r="E11" s="44">
        <v>500</v>
      </c>
      <c r="F11" s="44">
        <v>500</v>
      </c>
      <c r="G11" s="44">
        <v>500</v>
      </c>
      <c r="H11" s="44">
        <v>600</v>
      </c>
      <c r="I11" s="44">
        <v>600</v>
      </c>
      <c r="J11" s="44">
        <v>600</v>
      </c>
      <c r="K11" s="44">
        <v>800</v>
      </c>
      <c r="L11" s="44">
        <v>800</v>
      </c>
      <c r="M11" s="44">
        <v>800</v>
      </c>
      <c r="N11" s="44">
        <v>800</v>
      </c>
      <c r="O11" s="44">
        <v>800</v>
      </c>
      <c r="P11" s="44">
        <v>800</v>
      </c>
      <c r="Q11" s="41" t="str">
        <f>B11&amp;"|"&amp;2</f>
        <v>EA Pro|2</v>
      </c>
    </row>
    <row r="12" spans="2:17" ht="24.75" customHeight="1" x14ac:dyDescent="0.3">
      <c r="B12" s="39" t="s">
        <v>155</v>
      </c>
      <c r="C12" s="49" t="s">
        <v>211</v>
      </c>
      <c r="D12" s="50">
        <v>1050</v>
      </c>
      <c r="E12" s="50">
        <v>1050</v>
      </c>
      <c r="F12" s="50">
        <v>1250</v>
      </c>
      <c r="G12" s="50">
        <v>1250</v>
      </c>
      <c r="H12" s="50">
        <v>1500</v>
      </c>
      <c r="I12" s="50">
        <v>1500</v>
      </c>
      <c r="J12" s="50">
        <v>1600</v>
      </c>
      <c r="K12" s="50">
        <v>2250</v>
      </c>
      <c r="L12" s="50">
        <v>2250</v>
      </c>
      <c r="M12" s="50">
        <v>2250</v>
      </c>
      <c r="N12" s="50">
        <v>2250</v>
      </c>
      <c r="O12" s="50">
        <v>2250</v>
      </c>
      <c r="P12" s="50">
        <v>2250</v>
      </c>
      <c r="Q12" s="41" t="str">
        <f>B12&amp;"|"&amp;3</f>
        <v>EA Pro|3</v>
      </c>
    </row>
    <row r="13" spans="2:17" ht="14.25" customHeight="1" x14ac:dyDescent="0.3">
      <c r="B13" s="39" t="s">
        <v>155</v>
      </c>
      <c r="C13" s="47" t="s">
        <v>210</v>
      </c>
      <c r="D13" s="48">
        <v>400</v>
      </c>
      <c r="E13" s="48">
        <v>400</v>
      </c>
      <c r="F13" s="48">
        <v>400</v>
      </c>
      <c r="G13" s="48">
        <v>400</v>
      </c>
      <c r="H13" s="48">
        <v>500</v>
      </c>
      <c r="I13" s="48">
        <v>500</v>
      </c>
      <c r="J13" s="48">
        <v>500</v>
      </c>
      <c r="K13" s="48">
        <v>700</v>
      </c>
      <c r="L13" s="48">
        <v>700</v>
      </c>
      <c r="M13" s="48">
        <v>700</v>
      </c>
      <c r="N13" s="48">
        <v>700</v>
      </c>
      <c r="O13" s="48">
        <v>700</v>
      </c>
      <c r="P13" s="48">
        <v>700</v>
      </c>
      <c r="Q13" s="41" t="str">
        <f>B13&amp;"|"&amp;4</f>
        <v>EA Pro|4</v>
      </c>
    </row>
    <row r="14" spans="2:17" ht="14.25" customHeight="1" x14ac:dyDescent="0.3">
      <c r="B14" s="39" t="s">
        <v>158</v>
      </c>
      <c r="C14" s="45" t="s">
        <v>209</v>
      </c>
      <c r="D14" s="46">
        <v>150</v>
      </c>
      <c r="E14" s="46">
        <v>150</v>
      </c>
      <c r="F14" s="46">
        <v>250</v>
      </c>
      <c r="G14" s="46">
        <v>250</v>
      </c>
      <c r="H14" s="46">
        <v>400</v>
      </c>
      <c r="I14" s="46">
        <v>400</v>
      </c>
      <c r="J14" s="46">
        <v>500</v>
      </c>
      <c r="K14" s="46">
        <v>900</v>
      </c>
      <c r="L14" s="46">
        <v>900</v>
      </c>
      <c r="M14" s="46">
        <v>900</v>
      </c>
      <c r="N14" s="46">
        <v>900</v>
      </c>
      <c r="O14" s="46">
        <v>900</v>
      </c>
      <c r="P14" s="46">
        <v>900</v>
      </c>
      <c r="Q14" s="41" t="str">
        <f>B14&amp;"|"&amp;1</f>
        <v>EA 360|1</v>
      </c>
    </row>
    <row r="15" spans="2:17" ht="14.25" customHeight="1" x14ac:dyDescent="0.3">
      <c r="B15" s="39" t="s">
        <v>158</v>
      </c>
      <c r="C15" s="51" t="s">
        <v>212</v>
      </c>
      <c r="D15" s="52">
        <v>600</v>
      </c>
      <c r="E15" s="52">
        <v>600</v>
      </c>
      <c r="F15" s="52">
        <v>600</v>
      </c>
      <c r="G15" s="52">
        <v>600</v>
      </c>
      <c r="H15" s="52">
        <v>700</v>
      </c>
      <c r="I15" s="52">
        <v>700</v>
      </c>
      <c r="J15" s="52">
        <v>700</v>
      </c>
      <c r="K15" s="52">
        <v>1000</v>
      </c>
      <c r="L15" s="52">
        <v>1000</v>
      </c>
      <c r="M15" s="52">
        <v>1000</v>
      </c>
      <c r="N15" s="52">
        <v>1000</v>
      </c>
      <c r="O15" s="52">
        <v>1000</v>
      </c>
      <c r="P15" s="52">
        <v>1000</v>
      </c>
      <c r="Q15" s="41" t="str">
        <f>B15&amp;"|"&amp;2</f>
        <v>EA 360|2</v>
      </c>
    </row>
    <row r="16" spans="2:17" ht="24.75" customHeight="1" x14ac:dyDescent="0.3">
      <c r="B16" s="39" t="s">
        <v>158</v>
      </c>
      <c r="C16" s="43" t="s">
        <v>208</v>
      </c>
      <c r="D16" s="44">
        <v>500</v>
      </c>
      <c r="E16" s="44">
        <v>500</v>
      </c>
      <c r="F16" s="44">
        <v>500</v>
      </c>
      <c r="G16" s="44">
        <v>500</v>
      </c>
      <c r="H16" s="44">
        <v>600</v>
      </c>
      <c r="I16" s="44">
        <v>600</v>
      </c>
      <c r="J16" s="44">
        <v>600</v>
      </c>
      <c r="K16" s="44">
        <v>800</v>
      </c>
      <c r="L16" s="44">
        <v>800</v>
      </c>
      <c r="M16" s="44">
        <v>800</v>
      </c>
      <c r="N16" s="44">
        <v>800</v>
      </c>
      <c r="O16" s="44">
        <v>800</v>
      </c>
      <c r="P16" s="44">
        <v>800</v>
      </c>
      <c r="Q16" s="41" t="str">
        <f>B16&amp;"|"&amp;3</f>
        <v>EA 360|3</v>
      </c>
    </row>
    <row r="17" spans="2:17" ht="14.25" customHeight="1" x14ac:dyDescent="0.3">
      <c r="B17" s="39" t="s">
        <v>158</v>
      </c>
      <c r="C17" s="53" t="s">
        <v>213</v>
      </c>
      <c r="D17" s="54">
        <v>450</v>
      </c>
      <c r="E17" s="54">
        <v>450</v>
      </c>
      <c r="F17" s="54">
        <v>450</v>
      </c>
      <c r="G17" s="54">
        <v>450</v>
      </c>
      <c r="H17" s="54">
        <v>600</v>
      </c>
      <c r="I17" s="54">
        <v>600</v>
      </c>
      <c r="J17" s="54">
        <v>0</v>
      </c>
      <c r="K17" s="54">
        <v>0</v>
      </c>
      <c r="L17" s="54">
        <v>0</v>
      </c>
      <c r="M17" s="54">
        <v>0</v>
      </c>
      <c r="N17" s="54">
        <v>0</v>
      </c>
      <c r="O17" s="54">
        <v>0</v>
      </c>
      <c r="P17" s="54">
        <v>0</v>
      </c>
      <c r="Q17" s="41" t="str">
        <f>B17&amp;"|"&amp;4</f>
        <v>EA 360|4</v>
      </c>
    </row>
    <row r="18" spans="2:17" ht="14.25" customHeight="1" x14ac:dyDescent="0.3">
      <c r="B18" s="39" t="s">
        <v>158</v>
      </c>
      <c r="C18" s="53" t="s">
        <v>214</v>
      </c>
      <c r="D18" s="54">
        <v>450</v>
      </c>
      <c r="E18" s="54">
        <v>450</v>
      </c>
      <c r="F18" s="54">
        <v>450</v>
      </c>
      <c r="G18" s="54">
        <v>450</v>
      </c>
      <c r="H18" s="54">
        <v>600</v>
      </c>
      <c r="I18" s="54">
        <v>600</v>
      </c>
      <c r="J18" s="54">
        <v>0</v>
      </c>
      <c r="K18" s="54">
        <v>0</v>
      </c>
      <c r="L18" s="54">
        <v>0</v>
      </c>
      <c r="M18" s="54">
        <v>0</v>
      </c>
      <c r="N18" s="54">
        <v>0</v>
      </c>
      <c r="O18" s="54">
        <v>0</v>
      </c>
      <c r="P18" s="54">
        <v>0</v>
      </c>
      <c r="Q18" s="41" t="str">
        <f>B18&amp;"|"&amp;5</f>
        <v>EA 360|5</v>
      </c>
    </row>
    <row r="19" spans="2:17" ht="14.25" customHeight="1" x14ac:dyDescent="0.3">
      <c r="B19" s="39" t="s">
        <v>158</v>
      </c>
      <c r="C19" s="55" t="s">
        <v>215</v>
      </c>
      <c r="D19" s="56">
        <v>850</v>
      </c>
      <c r="E19" s="56">
        <v>850</v>
      </c>
      <c r="F19" s="56">
        <v>850</v>
      </c>
      <c r="G19" s="56">
        <v>850</v>
      </c>
      <c r="H19" s="56">
        <v>1000</v>
      </c>
      <c r="I19" s="56">
        <v>1000</v>
      </c>
      <c r="J19" s="56">
        <v>1000</v>
      </c>
      <c r="K19" s="56">
        <v>1500</v>
      </c>
      <c r="L19" s="56">
        <v>1500</v>
      </c>
      <c r="M19" s="56">
        <v>1500</v>
      </c>
      <c r="N19" s="56">
        <v>1500</v>
      </c>
      <c r="O19" s="56">
        <v>1500</v>
      </c>
      <c r="P19" s="56">
        <v>1500</v>
      </c>
      <c r="Q19" s="41" t="str">
        <f>B19&amp;"|"&amp;6</f>
        <v>EA 360|6</v>
      </c>
    </row>
    <row r="20" spans="2:17" ht="24.75" customHeight="1" x14ac:dyDescent="0.3">
      <c r="B20" s="39" t="s">
        <v>158</v>
      </c>
      <c r="C20" s="49" t="s">
        <v>211</v>
      </c>
      <c r="D20" s="50">
        <v>1050</v>
      </c>
      <c r="E20" s="50">
        <v>1050</v>
      </c>
      <c r="F20" s="50">
        <v>1250</v>
      </c>
      <c r="G20" s="50">
        <v>1250</v>
      </c>
      <c r="H20" s="50">
        <v>1500</v>
      </c>
      <c r="I20" s="50">
        <v>1500</v>
      </c>
      <c r="J20" s="50">
        <v>1600</v>
      </c>
      <c r="K20" s="50">
        <v>2250</v>
      </c>
      <c r="L20" s="50">
        <v>2250</v>
      </c>
      <c r="M20" s="50">
        <v>2250</v>
      </c>
      <c r="N20" s="50">
        <v>2250</v>
      </c>
      <c r="O20" s="50">
        <v>2250</v>
      </c>
      <c r="P20" s="50">
        <v>2250</v>
      </c>
      <c r="Q20" s="41" t="str">
        <f>B20&amp;"|"&amp;7</f>
        <v>EA 360|7</v>
      </c>
    </row>
    <row r="21" spans="2:17" ht="14.25" customHeight="1" x14ac:dyDescent="0.3">
      <c r="B21" s="39" t="s">
        <v>158</v>
      </c>
      <c r="C21" s="47" t="s">
        <v>210</v>
      </c>
      <c r="D21" s="48">
        <v>400</v>
      </c>
      <c r="E21" s="48">
        <v>400</v>
      </c>
      <c r="F21" s="48">
        <v>400</v>
      </c>
      <c r="G21" s="48">
        <v>400</v>
      </c>
      <c r="H21" s="48">
        <v>500</v>
      </c>
      <c r="I21" s="48">
        <v>500</v>
      </c>
      <c r="J21" s="48">
        <v>500</v>
      </c>
      <c r="K21" s="48">
        <v>700</v>
      </c>
      <c r="L21" s="48">
        <v>700</v>
      </c>
      <c r="M21" s="48">
        <v>700</v>
      </c>
      <c r="N21" s="48">
        <v>700</v>
      </c>
      <c r="O21" s="48">
        <v>700</v>
      </c>
      <c r="P21" s="48">
        <v>700</v>
      </c>
      <c r="Q21" s="41" t="str">
        <f>B21&amp;"|"&amp;8</f>
        <v>EA 360|8</v>
      </c>
    </row>
    <row r="22" spans="2:17" ht="14.25" customHeight="1" x14ac:dyDescent="0.3">
      <c r="B22" s="39" t="s">
        <v>160</v>
      </c>
      <c r="C22" s="45" t="s">
        <v>209</v>
      </c>
      <c r="D22" s="46">
        <v>150</v>
      </c>
      <c r="E22" s="46">
        <v>150</v>
      </c>
      <c r="F22" s="46">
        <v>250</v>
      </c>
      <c r="G22" s="46">
        <v>250</v>
      </c>
      <c r="H22" s="46">
        <v>400</v>
      </c>
      <c r="I22" s="46">
        <v>400</v>
      </c>
      <c r="J22" s="46">
        <v>500</v>
      </c>
      <c r="K22" s="46">
        <v>900</v>
      </c>
      <c r="L22" s="46">
        <v>900</v>
      </c>
      <c r="M22" s="46">
        <v>900</v>
      </c>
      <c r="N22" s="46">
        <v>900</v>
      </c>
      <c r="O22" s="46">
        <v>900</v>
      </c>
      <c r="P22" s="46">
        <v>900</v>
      </c>
      <c r="Q22" s="41" t="str">
        <f>B22&amp;"|"&amp;1</f>
        <v>EA Elite|1</v>
      </c>
    </row>
    <row r="23" spans="2:17" ht="14.25" customHeight="1" x14ac:dyDescent="0.3">
      <c r="B23" s="39" t="s">
        <v>160</v>
      </c>
      <c r="C23" s="51" t="s">
        <v>212</v>
      </c>
      <c r="D23" s="52">
        <v>600</v>
      </c>
      <c r="E23" s="52">
        <v>600</v>
      </c>
      <c r="F23" s="52">
        <v>600</v>
      </c>
      <c r="G23" s="52">
        <v>600</v>
      </c>
      <c r="H23" s="52">
        <v>700</v>
      </c>
      <c r="I23" s="52">
        <v>700</v>
      </c>
      <c r="J23" s="52">
        <v>700</v>
      </c>
      <c r="K23" s="52">
        <v>1000</v>
      </c>
      <c r="L23" s="52">
        <v>1000</v>
      </c>
      <c r="M23" s="52">
        <v>1000</v>
      </c>
      <c r="N23" s="52">
        <v>1000</v>
      </c>
      <c r="O23" s="52">
        <v>1000</v>
      </c>
      <c r="P23" s="52">
        <v>1000</v>
      </c>
      <c r="Q23" s="41" t="str">
        <f>B23&amp;"|"&amp;2</f>
        <v>EA Elite|2</v>
      </c>
    </row>
    <row r="24" spans="2:17" ht="24.75" customHeight="1" x14ac:dyDescent="0.3">
      <c r="B24" s="39" t="s">
        <v>160</v>
      </c>
      <c r="C24" s="43" t="s">
        <v>208</v>
      </c>
      <c r="D24" s="44">
        <v>500</v>
      </c>
      <c r="E24" s="44">
        <v>500</v>
      </c>
      <c r="F24" s="44">
        <v>500</v>
      </c>
      <c r="G24" s="44">
        <v>500</v>
      </c>
      <c r="H24" s="44">
        <v>600</v>
      </c>
      <c r="I24" s="44">
        <v>600</v>
      </c>
      <c r="J24" s="44">
        <v>600</v>
      </c>
      <c r="K24" s="44">
        <v>800</v>
      </c>
      <c r="L24" s="44">
        <v>800</v>
      </c>
      <c r="M24" s="44">
        <v>800</v>
      </c>
      <c r="N24" s="44">
        <v>800</v>
      </c>
      <c r="O24" s="44">
        <v>800</v>
      </c>
      <c r="P24" s="44">
        <v>800</v>
      </c>
      <c r="Q24" s="41" t="str">
        <f>B24&amp;"|"&amp;3</f>
        <v>EA Elite|3</v>
      </c>
    </row>
    <row r="25" spans="2:17" ht="14.25" customHeight="1" x14ac:dyDescent="0.3">
      <c r="B25" s="39" t="s">
        <v>160</v>
      </c>
      <c r="C25" s="53" t="s">
        <v>213</v>
      </c>
      <c r="D25" s="54">
        <v>450</v>
      </c>
      <c r="E25" s="54">
        <v>450</v>
      </c>
      <c r="F25" s="54">
        <v>450</v>
      </c>
      <c r="G25" s="54">
        <v>450</v>
      </c>
      <c r="H25" s="54">
        <v>600</v>
      </c>
      <c r="I25" s="54">
        <v>600</v>
      </c>
      <c r="J25" s="54">
        <v>0</v>
      </c>
      <c r="K25" s="54">
        <v>0</v>
      </c>
      <c r="L25" s="54">
        <v>0</v>
      </c>
      <c r="M25" s="54">
        <v>0</v>
      </c>
      <c r="N25" s="54">
        <v>0</v>
      </c>
      <c r="O25" s="54">
        <v>0</v>
      </c>
      <c r="P25" s="54">
        <v>0</v>
      </c>
      <c r="Q25" s="41" t="str">
        <f>B25&amp;"|"&amp;4</f>
        <v>EA Elite|4</v>
      </c>
    </row>
    <row r="26" spans="2:17" ht="14.25" customHeight="1" x14ac:dyDescent="0.3">
      <c r="B26" s="39" t="s">
        <v>160</v>
      </c>
      <c r="C26" s="53" t="s">
        <v>214</v>
      </c>
      <c r="D26" s="54">
        <v>450</v>
      </c>
      <c r="E26" s="54">
        <v>450</v>
      </c>
      <c r="F26" s="54">
        <v>450</v>
      </c>
      <c r="G26" s="54">
        <v>450</v>
      </c>
      <c r="H26" s="54">
        <v>600</v>
      </c>
      <c r="I26" s="54">
        <v>600</v>
      </c>
      <c r="J26" s="54">
        <v>0</v>
      </c>
      <c r="K26" s="54">
        <v>0</v>
      </c>
      <c r="L26" s="54">
        <v>0</v>
      </c>
      <c r="M26" s="54">
        <v>0</v>
      </c>
      <c r="N26" s="54">
        <v>0</v>
      </c>
      <c r="O26" s="54">
        <v>0</v>
      </c>
      <c r="P26" s="54">
        <v>0</v>
      </c>
      <c r="Q26" s="41" t="str">
        <f>B26&amp;"|"&amp;5</f>
        <v>EA Elite|5</v>
      </c>
    </row>
    <row r="27" spans="2:17" ht="14.25" customHeight="1" x14ac:dyDescent="0.3">
      <c r="B27" s="39" t="s">
        <v>160</v>
      </c>
      <c r="C27" s="57" t="s">
        <v>216</v>
      </c>
      <c r="D27" s="58">
        <v>2124</v>
      </c>
      <c r="E27" s="58">
        <v>2124</v>
      </c>
      <c r="F27" s="58">
        <v>2478</v>
      </c>
      <c r="G27" s="58">
        <v>2478</v>
      </c>
      <c r="H27" s="58">
        <v>3540</v>
      </c>
      <c r="I27" s="58">
        <v>3540</v>
      </c>
      <c r="J27" s="58">
        <v>3540</v>
      </c>
      <c r="K27" s="58">
        <v>4130</v>
      </c>
      <c r="L27" s="58">
        <v>4130</v>
      </c>
      <c r="M27" s="58">
        <v>4130</v>
      </c>
      <c r="N27" s="58">
        <v>4130</v>
      </c>
      <c r="O27" s="58">
        <v>4130</v>
      </c>
      <c r="P27" s="58">
        <v>4130</v>
      </c>
      <c r="Q27" s="41" t="str">
        <f>B27&amp;"|"&amp;6</f>
        <v>EA Elite|6</v>
      </c>
    </row>
    <row r="28" spans="2:17" ht="14.25" customHeight="1" x14ac:dyDescent="0.3">
      <c r="B28" s="39" t="s">
        <v>160</v>
      </c>
      <c r="C28" s="57" t="s">
        <v>217</v>
      </c>
      <c r="D28" s="58">
        <v>3570</v>
      </c>
      <c r="E28" s="58">
        <v>3570</v>
      </c>
      <c r="F28" s="58">
        <v>4425</v>
      </c>
      <c r="G28" s="58">
        <v>4425</v>
      </c>
      <c r="H28" s="58">
        <v>4720</v>
      </c>
      <c r="I28" s="58">
        <v>4720</v>
      </c>
      <c r="J28" s="58">
        <v>4720</v>
      </c>
      <c r="K28" s="58">
        <v>5605</v>
      </c>
      <c r="L28" s="58">
        <v>5605</v>
      </c>
      <c r="M28" s="58">
        <v>5605</v>
      </c>
      <c r="N28" s="58">
        <v>5605</v>
      </c>
      <c r="O28" s="58">
        <v>5605</v>
      </c>
      <c r="P28" s="58">
        <v>5605</v>
      </c>
      <c r="Q28" s="41" t="str">
        <f>B28&amp;"|"&amp;7</f>
        <v>EA Elite|7</v>
      </c>
    </row>
    <row r="29" spans="2:17" ht="14.25" customHeight="1" x14ac:dyDescent="0.3">
      <c r="B29" s="39" t="s">
        <v>160</v>
      </c>
      <c r="C29" s="55" t="s">
        <v>215</v>
      </c>
      <c r="D29" s="56">
        <v>850</v>
      </c>
      <c r="E29" s="56">
        <v>850</v>
      </c>
      <c r="F29" s="56">
        <v>850</v>
      </c>
      <c r="G29" s="56">
        <v>850</v>
      </c>
      <c r="H29" s="56">
        <v>1000</v>
      </c>
      <c r="I29" s="56">
        <v>1000</v>
      </c>
      <c r="J29" s="56">
        <v>1000</v>
      </c>
      <c r="K29" s="56">
        <v>1500</v>
      </c>
      <c r="L29" s="56">
        <v>1500</v>
      </c>
      <c r="M29" s="56">
        <v>1500</v>
      </c>
      <c r="N29" s="56">
        <v>1500</v>
      </c>
      <c r="O29" s="56">
        <v>1500</v>
      </c>
      <c r="P29" s="56">
        <v>1500</v>
      </c>
      <c r="Q29" s="41" t="str">
        <f>B29&amp;"|"&amp;8</f>
        <v>EA Elite|8</v>
      </c>
    </row>
    <row r="30" spans="2:17" ht="24.75" customHeight="1" x14ac:dyDescent="0.3">
      <c r="B30" s="39" t="s">
        <v>160</v>
      </c>
      <c r="C30" s="49" t="s">
        <v>211</v>
      </c>
      <c r="D30" s="50">
        <v>1050</v>
      </c>
      <c r="E30" s="50">
        <v>1050</v>
      </c>
      <c r="F30" s="50">
        <v>1250</v>
      </c>
      <c r="G30" s="50">
        <v>1250</v>
      </c>
      <c r="H30" s="50">
        <v>1500</v>
      </c>
      <c r="I30" s="50">
        <v>1500</v>
      </c>
      <c r="J30" s="50">
        <v>1600</v>
      </c>
      <c r="K30" s="50">
        <v>2250</v>
      </c>
      <c r="L30" s="50">
        <v>2250</v>
      </c>
      <c r="M30" s="50">
        <v>2250</v>
      </c>
      <c r="N30" s="50">
        <v>2250</v>
      </c>
      <c r="O30" s="50">
        <v>2250</v>
      </c>
      <c r="P30" s="50">
        <v>2250</v>
      </c>
      <c r="Q30" s="41" t="str">
        <f>B30&amp;"|"&amp;9</f>
        <v>EA Elite|9</v>
      </c>
    </row>
    <row r="31" spans="2:17" ht="14.25" customHeight="1" x14ac:dyDescent="0.3">
      <c r="B31" s="39" t="s">
        <v>160</v>
      </c>
      <c r="C31" s="47" t="s">
        <v>210</v>
      </c>
      <c r="D31" s="48">
        <v>400</v>
      </c>
      <c r="E31" s="48">
        <v>400</v>
      </c>
      <c r="F31" s="48">
        <v>400</v>
      </c>
      <c r="G31" s="48">
        <v>400</v>
      </c>
      <c r="H31" s="48">
        <v>500</v>
      </c>
      <c r="I31" s="48">
        <v>500</v>
      </c>
      <c r="J31" s="48">
        <v>500</v>
      </c>
      <c r="K31" s="48">
        <v>700</v>
      </c>
      <c r="L31" s="48">
        <v>700</v>
      </c>
      <c r="M31" s="48">
        <v>700</v>
      </c>
      <c r="N31" s="48">
        <v>700</v>
      </c>
      <c r="O31" s="48">
        <v>700</v>
      </c>
      <c r="P31" s="48">
        <v>700</v>
      </c>
      <c r="Q31" s="41" t="str">
        <f>B31&amp;"|"&amp;10</f>
        <v>EA Elite|10</v>
      </c>
    </row>
    <row r="32" spans="2:17" ht="14.4" customHeight="1" x14ac:dyDescent="0.3"/>
    <row r="33" spans="2:16" ht="14.25" customHeight="1" x14ac:dyDescent="0.3">
      <c r="B33" s="155" t="s">
        <v>218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</row>
  </sheetData>
  <sheetProtection algorithmName="SHA-512" hashValue="FJ3P+uCkPtBuf58dU3y0HR1XSNU+I8aTP56KtAUtC9pgKB8fpuzDvfbTc27S2LL7kuyWLCFlqRp/F0M3cbLC2Q==" saltValue="g6WBJ1mE5YA5Z2aSDGQVMA==" spinCount="100000" sheet="1" objects="1" scenarios="1"/>
  <mergeCells count="3">
    <mergeCell ref="B33:P33"/>
    <mergeCell ref="B1:P1"/>
    <mergeCell ref="B2:P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5"/>
  <sheetViews>
    <sheetView showGridLines="0" zoomScaleNormal="100" workbookViewId="0">
      <selection activeCell="B17" sqref="B17"/>
    </sheetView>
  </sheetViews>
  <sheetFormatPr defaultColWidth="8.5546875" defaultRowHeight="14.25" customHeight="1" x14ac:dyDescent="0.3"/>
  <cols>
    <col min="1" max="1" width="3" customWidth="1"/>
    <col min="2" max="2" width="100" customWidth="1"/>
  </cols>
  <sheetData>
    <row r="1" spans="2:2" ht="14.4" customHeight="1" x14ac:dyDescent="0.3"/>
    <row r="2" spans="2:2" ht="19.5" customHeight="1" x14ac:dyDescent="0.3">
      <c r="B2" s="59" t="s">
        <v>219</v>
      </c>
    </row>
    <row r="3" spans="2:2" ht="14.25" customHeight="1" x14ac:dyDescent="0.3">
      <c r="B3" s="60"/>
    </row>
    <row r="4" spans="2:2" ht="15" customHeight="1" x14ac:dyDescent="0.3">
      <c r="B4" s="61" t="s">
        <v>220</v>
      </c>
    </row>
    <row r="5" spans="2:2" ht="14.25" customHeight="1" x14ac:dyDescent="0.3">
      <c r="B5" s="62" t="s">
        <v>221</v>
      </c>
    </row>
    <row r="6" spans="2:2" ht="14.25" customHeight="1" x14ac:dyDescent="0.3">
      <c r="B6" s="62" t="s">
        <v>222</v>
      </c>
    </row>
    <row r="7" spans="2:2" ht="14.25" customHeight="1" x14ac:dyDescent="0.3">
      <c r="B7" s="62" t="s">
        <v>223</v>
      </c>
    </row>
    <row r="8" spans="2:2" ht="14.25" customHeight="1" x14ac:dyDescent="0.3">
      <c r="B8" s="62" t="s">
        <v>224</v>
      </c>
    </row>
    <row r="9" spans="2:2" ht="14.25" customHeight="1" x14ac:dyDescent="0.3">
      <c r="B9" s="62" t="s">
        <v>225</v>
      </c>
    </row>
    <row r="10" spans="2:2" ht="14.25" customHeight="1" x14ac:dyDescent="0.3">
      <c r="B10" s="62" t="s">
        <v>226</v>
      </c>
    </row>
    <row r="11" spans="2:2" ht="14.25" customHeight="1" x14ac:dyDescent="0.3">
      <c r="B11" s="62" t="s">
        <v>227</v>
      </c>
    </row>
    <row r="12" spans="2:2" ht="14.25" customHeight="1" x14ac:dyDescent="0.3">
      <c r="B12" s="62" t="s">
        <v>228</v>
      </c>
    </row>
    <row r="13" spans="2:2" ht="14.25" customHeight="1" x14ac:dyDescent="0.3">
      <c r="B13" s="62" t="s">
        <v>229</v>
      </c>
    </row>
    <row r="14" spans="2:2" ht="14.25" customHeight="1" x14ac:dyDescent="0.3">
      <c r="B14" s="62" t="s">
        <v>230</v>
      </c>
    </row>
    <row r="15" spans="2:2" ht="14.25" customHeight="1" x14ac:dyDescent="0.3">
      <c r="B15" s="62" t="s">
        <v>231</v>
      </c>
    </row>
    <row r="16" spans="2:2" ht="14.25" customHeight="1" x14ac:dyDescent="0.3">
      <c r="B16" s="62" t="s">
        <v>232</v>
      </c>
    </row>
    <row r="17" spans="2:2" ht="14.25" customHeight="1" x14ac:dyDescent="0.3">
      <c r="B17" s="62" t="s">
        <v>233</v>
      </c>
    </row>
    <row r="18" spans="2:2" ht="14.25" customHeight="1" x14ac:dyDescent="0.3">
      <c r="B18" s="60"/>
    </row>
    <row r="19" spans="2:2" ht="30.75" customHeight="1" x14ac:dyDescent="0.3">
      <c r="B19" s="61" t="s">
        <v>234</v>
      </c>
    </row>
    <row r="20" spans="2:2" ht="14.25" customHeight="1" x14ac:dyDescent="0.3">
      <c r="B20" s="62" t="s">
        <v>235</v>
      </c>
    </row>
    <row r="21" spans="2:2" ht="14.25" customHeight="1" x14ac:dyDescent="0.3">
      <c r="B21" s="62" t="s">
        <v>236</v>
      </c>
    </row>
    <row r="22" spans="2:2" ht="14.25" customHeight="1" x14ac:dyDescent="0.3">
      <c r="B22" s="62" t="s">
        <v>237</v>
      </c>
    </row>
    <row r="23" spans="2:2" ht="24.75" customHeight="1" x14ac:dyDescent="0.3">
      <c r="B23" s="62" t="s">
        <v>238</v>
      </c>
    </row>
    <row r="24" spans="2:2" ht="14.25" customHeight="1" x14ac:dyDescent="0.3">
      <c r="B24" s="62" t="s">
        <v>239</v>
      </c>
    </row>
    <row r="25" spans="2:2" ht="14.25" customHeight="1" x14ac:dyDescent="0.3">
      <c r="B25" s="60"/>
    </row>
    <row r="26" spans="2:2" ht="15" customHeight="1" x14ac:dyDescent="0.3">
      <c r="B26" s="61" t="s">
        <v>240</v>
      </c>
    </row>
    <row r="27" spans="2:2" ht="24.75" customHeight="1" x14ac:dyDescent="0.3">
      <c r="B27" s="62" t="s">
        <v>241</v>
      </c>
    </row>
    <row r="28" spans="2:2" ht="14.25" customHeight="1" x14ac:dyDescent="0.3">
      <c r="B28" s="60"/>
    </row>
    <row r="29" spans="2:2" ht="15" customHeight="1" x14ac:dyDescent="0.3">
      <c r="B29" s="61" t="s">
        <v>242</v>
      </c>
    </row>
    <row r="30" spans="2:2" ht="14.25" customHeight="1" x14ac:dyDescent="0.3">
      <c r="B30" s="62" t="s">
        <v>243</v>
      </c>
    </row>
    <row r="31" spans="2:2" ht="14.25" customHeight="1" x14ac:dyDescent="0.3">
      <c r="B31" s="62" t="s">
        <v>244</v>
      </c>
    </row>
    <row r="32" spans="2:2" ht="14.25" customHeight="1" x14ac:dyDescent="0.3">
      <c r="B32" s="62" t="s">
        <v>245</v>
      </c>
    </row>
    <row r="33" spans="2:2" ht="14.25" customHeight="1" x14ac:dyDescent="0.3">
      <c r="B33" s="62" t="s">
        <v>246</v>
      </c>
    </row>
    <row r="34" spans="2:2" ht="24.75" customHeight="1" x14ac:dyDescent="0.3">
      <c r="B34" s="62" t="s">
        <v>247</v>
      </c>
    </row>
    <row r="35" spans="2:2" ht="14.25" customHeight="1" x14ac:dyDescent="0.3">
      <c r="B35" s="62" t="s">
        <v>248</v>
      </c>
    </row>
  </sheetData>
  <sheetProtection algorithmName="SHA-512" hashValue="L59g14rOjUlpfxw2VWTBVe7Vvhsl3EYWQZ5aVzhOTguRqwr7ByhUgWPXkltMG2kTq7Y3YrlxVn59+0UsfnNK8Q==" saltValue="vrCYb5Npq83E1d77VysQLg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zoomScaleNormal="100" workbookViewId="0"/>
  </sheetViews>
  <sheetFormatPr defaultColWidth="8.5546875" defaultRowHeight="14.25" customHeight="1" x14ac:dyDescent="0.3"/>
  <sheetData>
    <row r="1" spans="1:1" ht="14.25" customHeight="1" x14ac:dyDescent="0.3">
      <c r="A1" t="s">
        <v>249</v>
      </c>
    </row>
    <row r="2" spans="1:1" ht="14.25" customHeight="1" x14ac:dyDescent="0.3">
      <c r="A2" t="s">
        <v>250</v>
      </c>
    </row>
    <row r="3" spans="1:1" ht="14.25" customHeight="1" x14ac:dyDescent="0.3">
      <c r="A3" t="s">
        <v>251</v>
      </c>
    </row>
    <row r="4" spans="1:1" ht="14.25" customHeight="1" x14ac:dyDescent="0.3">
      <c r="A4" t="s">
        <v>252</v>
      </c>
    </row>
    <row r="5" spans="1:1" ht="14.25" customHeight="1" x14ac:dyDescent="0.3">
      <c r="A5" t="s">
        <v>253</v>
      </c>
    </row>
    <row r="6" spans="1:1" ht="14.25" customHeight="1" x14ac:dyDescent="0.3">
      <c r="A6" t="s">
        <v>254</v>
      </c>
    </row>
    <row r="7" spans="1:1" ht="14.25" customHeight="1" x14ac:dyDescent="0.3">
      <c r="A7" t="s">
        <v>255</v>
      </c>
    </row>
    <row r="8" spans="1:1" ht="14.25" customHeight="1" x14ac:dyDescent="0.3">
      <c r="A8" t="s">
        <v>256</v>
      </c>
    </row>
    <row r="9" spans="1:1" ht="14.25" customHeight="1" x14ac:dyDescent="0.3">
      <c r="A9" t="s">
        <v>257</v>
      </c>
    </row>
    <row r="10" spans="1:1" ht="14.25" customHeight="1" x14ac:dyDescent="0.3">
      <c r="A10" t="s">
        <v>258</v>
      </c>
    </row>
    <row r="11" spans="1:1" ht="14.25" customHeight="1" x14ac:dyDescent="0.3">
      <c r="A11" t="s">
        <v>259</v>
      </c>
    </row>
    <row r="12" spans="1:1" ht="14.25" customHeight="1" x14ac:dyDescent="0.3">
      <c r="A12" t="s">
        <v>260</v>
      </c>
    </row>
    <row r="13" spans="1:1" ht="14.25" customHeight="1" x14ac:dyDescent="0.3">
      <c r="A13" t="s">
        <v>261</v>
      </c>
    </row>
    <row r="14" spans="1:1" ht="14.25" customHeight="1" x14ac:dyDescent="0.3">
      <c r="A14" t="s">
        <v>262</v>
      </c>
    </row>
    <row r="15" spans="1:1" ht="14.25" customHeight="1" x14ac:dyDescent="0.3">
      <c r="A15" t="s">
        <v>263</v>
      </c>
    </row>
    <row r="16" spans="1:1" ht="14.25" customHeight="1" x14ac:dyDescent="0.3">
      <c r="A16" t="s">
        <v>264</v>
      </c>
    </row>
    <row r="17" spans="1:1" ht="14.25" customHeight="1" x14ac:dyDescent="0.3">
      <c r="A17" t="s">
        <v>265</v>
      </c>
    </row>
    <row r="18" spans="1:1" ht="14.25" customHeight="1" x14ac:dyDescent="0.3">
      <c r="A18" t="s">
        <v>266</v>
      </c>
    </row>
    <row r="19" spans="1:1" ht="14.25" customHeight="1" x14ac:dyDescent="0.3">
      <c r="A19" t="s">
        <v>267</v>
      </c>
    </row>
    <row r="20" spans="1:1" ht="14.25" customHeight="1" x14ac:dyDescent="0.3">
      <c r="A20" t="s">
        <v>268</v>
      </c>
    </row>
    <row r="21" spans="1:1" ht="14.25" customHeight="1" x14ac:dyDescent="0.3">
      <c r="A21" t="s">
        <v>269</v>
      </c>
    </row>
    <row r="22" spans="1:1" ht="14.25" customHeight="1" x14ac:dyDescent="0.3">
      <c r="A22" t="s">
        <v>270</v>
      </c>
    </row>
    <row r="23" spans="1:1" ht="14.25" customHeight="1" x14ac:dyDescent="0.3">
      <c r="A23" t="s">
        <v>271</v>
      </c>
    </row>
    <row r="24" spans="1:1" ht="14.25" customHeight="1" x14ac:dyDescent="0.3">
      <c r="A24" t="s">
        <v>272</v>
      </c>
    </row>
    <row r="25" spans="1:1" ht="14.25" customHeight="1" x14ac:dyDescent="0.3">
      <c r="A25" t="s">
        <v>273</v>
      </c>
    </row>
    <row r="26" spans="1:1" ht="14.25" customHeight="1" x14ac:dyDescent="0.3">
      <c r="A26" t="s">
        <v>274</v>
      </c>
    </row>
    <row r="27" spans="1:1" ht="14.25" customHeight="1" x14ac:dyDescent="0.3">
      <c r="A27" t="s">
        <v>275</v>
      </c>
    </row>
    <row r="28" spans="1:1" ht="14.25" customHeight="1" x14ac:dyDescent="0.3">
      <c r="A28" t="s">
        <v>276</v>
      </c>
    </row>
    <row r="29" spans="1:1" ht="14.25" customHeight="1" x14ac:dyDescent="0.3">
      <c r="A29" t="s">
        <v>277</v>
      </c>
    </row>
    <row r="30" spans="1:1" ht="14.25" customHeight="1" x14ac:dyDescent="0.3">
      <c r="A30" t="s">
        <v>278</v>
      </c>
    </row>
    <row r="31" spans="1:1" ht="14.25" customHeight="1" x14ac:dyDescent="0.3">
      <c r="A31" t="s">
        <v>279</v>
      </c>
    </row>
    <row r="32" spans="1:1" ht="14.25" customHeight="1" x14ac:dyDescent="0.3">
      <c r="A32" t="s">
        <v>280</v>
      </c>
    </row>
    <row r="33" spans="1:1" ht="14.25" customHeight="1" x14ac:dyDescent="0.3">
      <c r="A33" t="s">
        <v>281</v>
      </c>
    </row>
    <row r="34" spans="1:1" ht="14.25" customHeight="1" x14ac:dyDescent="0.3">
      <c r="A34" t="s">
        <v>282</v>
      </c>
    </row>
    <row r="35" spans="1:1" ht="14.25" customHeight="1" x14ac:dyDescent="0.3">
      <c r="A35" t="s">
        <v>283</v>
      </c>
    </row>
    <row r="36" spans="1:1" ht="14.25" customHeight="1" x14ac:dyDescent="0.3">
      <c r="A36" t="s">
        <v>284</v>
      </c>
    </row>
    <row r="37" spans="1:1" ht="14.25" customHeight="1" x14ac:dyDescent="0.3">
      <c r="A37" t="s">
        <v>285</v>
      </c>
    </row>
    <row r="38" spans="1:1" ht="14.25" customHeight="1" x14ac:dyDescent="0.3">
      <c r="A38" t="s">
        <v>286</v>
      </c>
    </row>
    <row r="39" spans="1:1" ht="14.25" customHeight="1" x14ac:dyDescent="0.3">
      <c r="A39" t="s">
        <v>287</v>
      </c>
    </row>
    <row r="40" spans="1:1" ht="14.25" customHeight="1" x14ac:dyDescent="0.3">
      <c r="A40" t="s">
        <v>288</v>
      </c>
    </row>
    <row r="41" spans="1:1" ht="14.25" customHeight="1" x14ac:dyDescent="0.3">
      <c r="A41" t="s">
        <v>289</v>
      </c>
    </row>
    <row r="42" spans="1:1" ht="14.25" customHeight="1" x14ac:dyDescent="0.3">
      <c r="A42" t="s">
        <v>290</v>
      </c>
    </row>
    <row r="43" spans="1:1" ht="14.25" customHeight="1" x14ac:dyDescent="0.3">
      <c r="A43" t="s">
        <v>291</v>
      </c>
    </row>
    <row r="44" spans="1:1" ht="14.25" customHeight="1" x14ac:dyDescent="0.3">
      <c r="A44" t="s">
        <v>292</v>
      </c>
    </row>
    <row r="45" spans="1:1" ht="14.25" customHeight="1" x14ac:dyDescent="0.3">
      <c r="A45" t="s">
        <v>293</v>
      </c>
    </row>
    <row r="46" spans="1:1" ht="14.25" customHeight="1" x14ac:dyDescent="0.3">
      <c r="A46" t="s">
        <v>294</v>
      </c>
    </row>
    <row r="47" spans="1:1" ht="14.25" customHeight="1" x14ac:dyDescent="0.3">
      <c r="A47" t="s">
        <v>295</v>
      </c>
    </row>
    <row r="48" spans="1:1" ht="14.25" customHeight="1" x14ac:dyDescent="0.3">
      <c r="A48" t="s">
        <v>296</v>
      </c>
    </row>
    <row r="49" spans="1:1" ht="14.25" customHeight="1" x14ac:dyDescent="0.3">
      <c r="A49" t="s">
        <v>297</v>
      </c>
    </row>
    <row r="50" spans="1:1" ht="14.25" customHeight="1" x14ac:dyDescent="0.3">
      <c r="A50" t="s">
        <v>298</v>
      </c>
    </row>
    <row r="51" spans="1:1" ht="14.25" customHeight="1" x14ac:dyDescent="0.3">
      <c r="A51" t="s">
        <v>299</v>
      </c>
    </row>
    <row r="52" spans="1:1" ht="14.25" customHeight="1" x14ac:dyDescent="0.3">
      <c r="A52" t="s">
        <v>300</v>
      </c>
    </row>
    <row r="53" spans="1:1" ht="14.25" customHeight="1" x14ac:dyDescent="0.3">
      <c r="A53" t="s">
        <v>301</v>
      </c>
    </row>
    <row r="54" spans="1:1" ht="14.25" customHeight="1" x14ac:dyDescent="0.3">
      <c r="A54" t="s">
        <v>302</v>
      </c>
    </row>
    <row r="55" spans="1:1" ht="14.25" customHeight="1" x14ac:dyDescent="0.3">
      <c r="A55" t="s">
        <v>303</v>
      </c>
    </row>
    <row r="56" spans="1:1" ht="14.25" customHeight="1" x14ac:dyDescent="0.3">
      <c r="A56" t="s">
        <v>304</v>
      </c>
    </row>
    <row r="57" spans="1:1" ht="14.25" customHeight="1" x14ac:dyDescent="0.3">
      <c r="A57" t="s">
        <v>305</v>
      </c>
    </row>
    <row r="58" spans="1:1" ht="14.25" customHeight="1" x14ac:dyDescent="0.3">
      <c r="A58" t="s">
        <v>306</v>
      </c>
    </row>
    <row r="59" spans="1:1" ht="14.25" customHeight="1" x14ac:dyDescent="0.3">
      <c r="A59" t="s">
        <v>307</v>
      </c>
    </row>
    <row r="60" spans="1:1" ht="14.25" customHeight="1" x14ac:dyDescent="0.3">
      <c r="A60" t="s">
        <v>308</v>
      </c>
    </row>
    <row r="61" spans="1:1" ht="14.25" customHeight="1" x14ac:dyDescent="0.3">
      <c r="A61" t="s">
        <v>309</v>
      </c>
    </row>
    <row r="62" spans="1:1" ht="14.25" customHeight="1" x14ac:dyDescent="0.3">
      <c r="A62" t="s">
        <v>310</v>
      </c>
    </row>
    <row r="63" spans="1:1" ht="14.25" customHeight="1" x14ac:dyDescent="0.3">
      <c r="A63" t="s">
        <v>311</v>
      </c>
    </row>
    <row r="64" spans="1:1" ht="14.25" customHeight="1" x14ac:dyDescent="0.3">
      <c r="A64" t="s">
        <v>312</v>
      </c>
    </row>
    <row r="65" spans="1:1" ht="14.25" customHeight="1" x14ac:dyDescent="0.3">
      <c r="A65" t="s">
        <v>313</v>
      </c>
    </row>
    <row r="66" spans="1:1" ht="14.25" customHeight="1" x14ac:dyDescent="0.3">
      <c r="A66" t="s">
        <v>314</v>
      </c>
    </row>
    <row r="67" spans="1:1" ht="14.25" customHeight="1" x14ac:dyDescent="0.3">
      <c r="A67" t="s">
        <v>315</v>
      </c>
    </row>
    <row r="68" spans="1:1" ht="14.25" customHeight="1" x14ac:dyDescent="0.3">
      <c r="A68" t="s">
        <v>316</v>
      </c>
    </row>
    <row r="69" spans="1:1" ht="14.25" customHeight="1" x14ac:dyDescent="0.3">
      <c r="A69" t="s">
        <v>317</v>
      </c>
    </row>
    <row r="70" spans="1:1" ht="14.25" customHeight="1" x14ac:dyDescent="0.3">
      <c r="A70" t="s">
        <v>318</v>
      </c>
    </row>
    <row r="71" spans="1:1" ht="14.25" customHeight="1" x14ac:dyDescent="0.3">
      <c r="A71" t="s">
        <v>319</v>
      </c>
    </row>
    <row r="72" spans="1:1" ht="14.25" customHeight="1" x14ac:dyDescent="0.3">
      <c r="A72" t="s">
        <v>320</v>
      </c>
    </row>
    <row r="73" spans="1:1" ht="14.25" customHeight="1" x14ac:dyDescent="0.3">
      <c r="A73" t="s">
        <v>321</v>
      </c>
    </row>
    <row r="74" spans="1:1" ht="14.25" customHeight="1" x14ac:dyDescent="0.3">
      <c r="A74" t="s">
        <v>322</v>
      </c>
    </row>
    <row r="75" spans="1:1" ht="14.25" customHeight="1" x14ac:dyDescent="0.3">
      <c r="A75" t="s">
        <v>323</v>
      </c>
    </row>
    <row r="76" spans="1:1" ht="14.25" customHeight="1" x14ac:dyDescent="0.3">
      <c r="A76" t="s">
        <v>324</v>
      </c>
    </row>
    <row r="77" spans="1:1" ht="14.25" customHeight="1" x14ac:dyDescent="0.3">
      <c r="A77" t="s">
        <v>325</v>
      </c>
    </row>
    <row r="78" spans="1:1" ht="14.25" customHeight="1" x14ac:dyDescent="0.3">
      <c r="A78" t="s">
        <v>326</v>
      </c>
    </row>
    <row r="79" spans="1:1" ht="14.25" customHeight="1" x14ac:dyDescent="0.3">
      <c r="A79" t="s">
        <v>327</v>
      </c>
    </row>
    <row r="80" spans="1:1" ht="14.25" customHeight="1" x14ac:dyDescent="0.3">
      <c r="A80" t="s">
        <v>328</v>
      </c>
    </row>
    <row r="81" spans="1:1" ht="14.25" customHeight="1" x14ac:dyDescent="0.3">
      <c r="A81" t="s">
        <v>329</v>
      </c>
    </row>
    <row r="82" spans="1:1" ht="14.25" customHeight="1" x14ac:dyDescent="0.3">
      <c r="A82" t="s">
        <v>330</v>
      </c>
    </row>
    <row r="83" spans="1:1" ht="14.25" customHeight="1" x14ac:dyDescent="0.3">
      <c r="A83" t="s">
        <v>331</v>
      </c>
    </row>
    <row r="84" spans="1:1" ht="14.25" customHeight="1" x14ac:dyDescent="0.3">
      <c r="A84" t="s">
        <v>332</v>
      </c>
    </row>
    <row r="85" spans="1:1" ht="14.25" customHeight="1" x14ac:dyDescent="0.3">
      <c r="A85" t="s">
        <v>333</v>
      </c>
    </row>
    <row r="86" spans="1:1" ht="14.25" customHeight="1" x14ac:dyDescent="0.3">
      <c r="A86" t="s">
        <v>334</v>
      </c>
    </row>
    <row r="87" spans="1:1" ht="14.25" customHeight="1" x14ac:dyDescent="0.3">
      <c r="A87" t="s">
        <v>335</v>
      </c>
    </row>
    <row r="88" spans="1:1" ht="14.25" customHeight="1" x14ac:dyDescent="0.3">
      <c r="A88" t="s">
        <v>336</v>
      </c>
    </row>
    <row r="89" spans="1:1" ht="14.25" customHeight="1" x14ac:dyDescent="0.3">
      <c r="A89" t="s">
        <v>337</v>
      </c>
    </row>
    <row r="90" spans="1:1" ht="14.25" customHeight="1" x14ac:dyDescent="0.3">
      <c r="A90" t="s">
        <v>338</v>
      </c>
    </row>
    <row r="91" spans="1:1" ht="14.25" customHeight="1" x14ac:dyDescent="0.3">
      <c r="A91" t="s">
        <v>339</v>
      </c>
    </row>
    <row r="92" spans="1:1" ht="14.25" customHeight="1" x14ac:dyDescent="0.3">
      <c r="A92" t="s">
        <v>340</v>
      </c>
    </row>
    <row r="93" spans="1:1" ht="14.25" customHeight="1" x14ac:dyDescent="0.3">
      <c r="A93" t="s">
        <v>341</v>
      </c>
    </row>
    <row r="94" spans="1:1" ht="14.25" customHeight="1" x14ac:dyDescent="0.3">
      <c r="A94" t="s">
        <v>342</v>
      </c>
    </row>
    <row r="95" spans="1:1" ht="14.25" customHeight="1" x14ac:dyDescent="0.3">
      <c r="A95" t="s">
        <v>343</v>
      </c>
    </row>
    <row r="96" spans="1:1" ht="14.25" customHeight="1" x14ac:dyDescent="0.3">
      <c r="A96" t="s">
        <v>344</v>
      </c>
    </row>
    <row r="97" spans="1:1" ht="14.25" customHeight="1" x14ac:dyDescent="0.3">
      <c r="A97" t="s">
        <v>345</v>
      </c>
    </row>
    <row r="98" spans="1:1" ht="14.25" customHeight="1" x14ac:dyDescent="0.3">
      <c r="A98" t="s">
        <v>346</v>
      </c>
    </row>
    <row r="99" spans="1:1" ht="14.25" customHeight="1" x14ac:dyDescent="0.3">
      <c r="A99" t="s">
        <v>347</v>
      </c>
    </row>
    <row r="100" spans="1:1" ht="14.25" customHeight="1" x14ac:dyDescent="0.3">
      <c r="A100" t="s">
        <v>348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28</vt:i4>
      </vt:variant>
    </vt:vector>
  </HeadingPairs>
  <TitlesOfParts>
    <vt:vector size="35" baseType="lpstr">
      <vt:lpstr>Estimate</vt:lpstr>
      <vt:lpstr>EA 360 Report</vt:lpstr>
      <vt:lpstr>EA Elite Report</vt:lpstr>
      <vt:lpstr>Masters</vt:lpstr>
      <vt:lpstr>Line Items</vt:lpstr>
      <vt:lpstr>How to Use</vt:lpstr>
      <vt:lpstr>Ref</vt:lpstr>
      <vt:lpstr>CarTypeList</vt:lpstr>
      <vt:lpstr>EST_CAR</vt:lpstr>
      <vt:lpstr>EST_CUST</vt:lpstr>
      <vt:lpstr>EST_DATE</vt:lpstr>
      <vt:lpstr>EST_KMS</vt:lpstr>
      <vt:lpstr>EST_PLAN</vt:lpstr>
      <vt:lpstr>EST_REG</vt:lpstr>
      <vt:lpstr>LI_Amounts</vt:lpstr>
      <vt:lpstr>LI_ColKey</vt:lpstr>
      <vt:lpstr>LI_Desc</vt:lpstr>
      <vt:lpstr>LI_Key</vt:lpstr>
      <vt:lpstr>LitCarType</vt:lpstr>
      <vt:lpstr>LitFull</vt:lpstr>
      <vt:lpstr>LitRefresh</vt:lpstr>
      <vt:lpstr>OilGradeCol</vt:lpstr>
      <vt:lpstr>OilGradeList</vt:lpstr>
      <vt:lpstr>OilName</vt:lpstr>
      <vt:lpstr>OilRate</vt:lpstr>
      <vt:lpstr>PayModeList</vt:lpstr>
      <vt:lpstr>PkgKey</vt:lpstr>
      <vt:lpstr>PkgVal</vt:lpstr>
      <vt:lpstr>PlanList</vt:lpstr>
      <vt:lpstr>'EA 360 Report'!Print_Area</vt:lpstr>
      <vt:lpstr>'EA Elite Report'!Print_Area</vt:lpstr>
      <vt:lpstr>Estimate!Print_Area</vt:lpstr>
      <vt:lpstr>'Line Items'!Print_Area</vt:lpstr>
      <vt:lpstr>Masters!Print_Area</vt:lpstr>
      <vt:lpstr>WordsTable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ea</cp:lastModifiedBy>
  <cp:lastPrinted>2026-10-04T05:54:37Z</cp:lastPrinted>
  <dcterms:created xsi:type="dcterms:W3CDTF">2026-09-12T14:10:59Z</dcterms:created>
  <dcterms:modified xsi:type="dcterms:W3CDTF">2026-10-07T05:34:01Z</dcterms:modified>
</cp:coreProperties>
</file>