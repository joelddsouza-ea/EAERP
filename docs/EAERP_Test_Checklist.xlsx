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EAERP\docs\"/>
    </mc:Choice>
  </mc:AlternateContent>
  <xr:revisionPtr revIDLastSave="0" documentId="13_ncr:1_{6C5B84E2-EF33-4BEE-9C51-FF1481DA3A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w to use" sheetId="1" r:id="rId1"/>
    <sheet name="Summary" sheetId="2" r:id="rId2"/>
    <sheet name="Checklist" sheetId="3" r:id="rId3"/>
    <sheet name="Issues" sheetId="4" r:id="rId4"/>
  </sheets>
  <definedNames>
    <definedName name="_xlnm._FilterDatabase" localSheetId="2" hidden="1">Checklist!$A$1:$M$277</definedName>
    <definedName name="_xlnm._FilterDatabase" localSheetId="3" hidden="1">Issues!$A$1:$L$152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2" l="1"/>
  <c r="B52" i="2"/>
  <c r="B51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B28" i="2" s="1"/>
  <c r="C25" i="2"/>
  <c r="B25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F21" i="2" s="1"/>
  <c r="E5" i="2"/>
  <c r="E21" i="2" s="1"/>
  <c r="D5" i="2"/>
  <c r="D21" i="2" s="1"/>
  <c r="C5" i="2"/>
  <c r="C21" i="2" s="1"/>
  <c r="B5" i="2"/>
  <c r="G48" i="2" l="1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/>
  <c r="G37" i="2"/>
  <c r="H37" i="2" s="1"/>
  <c r="G36" i="2"/>
  <c r="H36" i="2" s="1"/>
  <c r="G35" i="2"/>
  <c r="H35" i="2"/>
  <c r="G34" i="2"/>
  <c r="H34" i="2" s="1"/>
  <c r="G33" i="2"/>
  <c r="H33" i="2"/>
  <c r="G32" i="2"/>
  <c r="H32" i="2" s="1"/>
  <c r="G27" i="2"/>
  <c r="H27" i="2" s="1"/>
  <c r="G26" i="2"/>
  <c r="H26" i="2" s="1"/>
  <c r="G25" i="2"/>
  <c r="H25" i="2" s="1"/>
  <c r="G20" i="2"/>
  <c r="H20" i="2" s="1"/>
  <c r="G19" i="2"/>
  <c r="H19" i="2" s="1"/>
  <c r="G18" i="2"/>
  <c r="H18" i="2" s="1"/>
  <c r="G17" i="2"/>
  <c r="H17" i="2"/>
  <c r="G16" i="2"/>
  <c r="H16" i="2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B21" i="2"/>
  <c r="G5" i="2"/>
  <c r="H5" i="2" s="1"/>
  <c r="G21" i="2" l="1"/>
  <c r="H21" i="2" s="1"/>
</calcChain>
</file>

<file path=xl/sharedStrings.xml><?xml version="1.0" encoding="utf-8"?>
<sst xmlns="http://schemas.openxmlformats.org/spreadsheetml/2006/main" count="2779" uniqueCount="1330">
  <si>
    <t>Express Autocare ERP — Test checklist (v2)</t>
  </si>
  <si>
    <t>276 checks covering every module and flow (Phases 1–11: job cards to delivery, parts and purchases, billing, pickup / drop / home service, attendance, payroll, accounts, CRM, WhatsApp inbox and Interakt, customer app, fleet cabs and drivers, settings, roles, phones), grouped into journeys that follow a car and a staff member through the system.</t>
  </si>
  <si>
    <t>How to work</t>
  </si>
  <si>
    <t>Go through the Checklist sheet top to bottom (Day column = suggested day). Do the step as the role in "Who", compare with "Expected result". Use the filter arrows to see one journey, one role or only Critical checks.</t>
  </si>
  <si>
    <t>Fill in (yellow)</t>
  </si>
  <si>
    <t>Status, Tested on, Notes and Issue ID on the Checklist sheet; every column on the Issues sheet. Everything else is fixed.</t>
  </si>
  <si>
    <t>Status values</t>
  </si>
  <si>
    <t>Pass · Fail · Blocked (could not test because of another problem) · N/A (not used by us, e.g. Interakt not bought yet). Leave empty = not tested yet.</t>
  </si>
  <si>
    <t>Priority</t>
  </si>
  <si>
    <t>Critical = money, data or a whole flow; test these first · High = an everyday screen · Normal = the rest.</t>
  </si>
  <si>
    <t>When something fails</t>
  </si>
  <si>
    <t>Set Status = Fail, add a row on the Issues sheet (ID I-001, I-002 …), and put that ID in the Issue ID column. Don't stop to report: send the Issues sheet after the week.</t>
  </si>
  <si>
    <t>Priority (Issues)</t>
  </si>
  <si>
    <t>Must fix = wrong numbers, data lost, blocks work · Should fix = works but confusing or slow · Nice to have = an idea.</t>
  </si>
  <si>
    <t>Progress</t>
  </si>
  <si>
    <t>The Summary sheet counts Pass / Fail / Blocked / not tested per journey, per priority and per role by itself.</t>
  </si>
  <si>
    <t>Test data</t>
  </si>
  <si>
    <t>Use the TEST copy, never live data. Demo logins: admin@ / manager@ / advisor@ / tech1@ / tech2@ / backoffice@ / parts@ / driver@ / marketing@expressautocare.in, password: password. For "Customer" and "Driver (fleet)" use spare phones with their own numbers.</t>
  </si>
  <si>
    <t>Don't wait for time</t>
  </si>
  <si>
    <t>php artisan crm:run · crm:daily · crm:interakt-sync · customerapp:reminders · fleet:daily · hr:close-attendance · hr:tracking run the timed jobs now. Keep php artisan schedule:work running anyway.</t>
  </si>
  <si>
    <t>WhatsApp / Interakt</t>
  </si>
  <si>
    <t>Section 2b needs an Interakt account (Growth or above; incoming chats need its higher plan). Without one, test the Share-links rows and mark the rest N/A.</t>
  </si>
  <si>
    <t>Phones</t>
  </si>
  <si>
    <t>Use the https tunnel address (Installation Guide §3). Location, camera and app notifications do not work on plain http on phones.</t>
  </si>
  <si>
    <t>Help</t>
  </si>
  <si>
    <t>User Manual (docs/EAERP_User_Manual.pdf, v3) for how each screen works; Quick Guide; App Installation &amp; Play Store Guide for the phones.</t>
  </si>
  <si>
    <t>Legend</t>
  </si>
  <si>
    <t>You fill in</t>
  </si>
  <si>
    <t>Yellow cells</t>
  </si>
  <si>
    <t>Pass</t>
  </si>
  <si>
    <t>Row colour when the Status is Pass</t>
  </si>
  <si>
    <t>Fail</t>
  </si>
  <si>
    <t>Row colour when the Status is Fail</t>
  </si>
  <si>
    <t>Blocked</t>
  </si>
  <si>
    <t>Row colour when the Status is Blocked</t>
  </si>
  <si>
    <t>N/A</t>
  </si>
  <si>
    <t>Row colour when the Status is N/A</t>
  </si>
  <si>
    <t>Example</t>
  </si>
  <si>
    <t>A filled-in row: Status = Fail · Tested on = 23-Oct · Notes = "Bell came but the lead was given to Ravi who is on leave" · Issue ID = I-004</t>
  </si>
  <si>
    <t>Express Autocare ERP — test progress</t>
  </si>
  <si>
    <t>All counts update by themselves from the Status column of the Checklist sheet. Nothing to type here.</t>
  </si>
  <si>
    <t>Journey</t>
  </si>
  <si>
    <t>Checks</t>
  </si>
  <si>
    <t>Not tested</t>
  </si>
  <si>
    <t>Done %</t>
  </si>
  <si>
    <t>0. Setup and signing in</t>
  </si>
  <si>
    <t>1. Drive-in service-plan job (Purchases &amp; Stock ON)</t>
  </si>
  <si>
    <t>1b. Same job with Purchases &amp; Stock OFF</t>
  </si>
  <si>
    <t>1c. Repair jobs, estimates and job-card details</t>
  </si>
  <si>
    <t>2. Lead to booking (CRM)</t>
  </si>
  <si>
    <t>2b. WhatsApp inbox and Interakt (CRM)</t>
  </si>
  <si>
    <t>3. Pickup &amp; drop, home service, live location</t>
  </si>
  <si>
    <t>4. Accident / body shop</t>
  </si>
  <si>
    <t>5. A staff week (attendance, leave, live map)</t>
  </si>
  <si>
    <t>6. Month end: payroll, accounts, dashboard</t>
  </si>
  <si>
    <t>7. Customer app tour</t>
  </si>
  <si>
    <t>7b. Fleet cabs and drivers</t>
  </si>
  <si>
    <t>8. Settings, masters and switches</t>
  </si>
  <si>
    <t>9. Every role (what each one sees)</t>
  </si>
  <si>
    <t>10. Things going wrong</t>
  </si>
  <si>
    <t>11. Phones and the Android apps</t>
  </si>
  <si>
    <t>Total</t>
  </si>
  <si>
    <t>By priority</t>
  </si>
  <si>
    <t>Critical</t>
  </si>
  <si>
    <t>High</t>
  </si>
  <si>
    <t>Normal</t>
  </si>
  <si>
    <t>Critical checks failing or blocked (fix these first)</t>
  </si>
  <si>
    <t>By role (Who)</t>
  </si>
  <si>
    <t>Who</t>
  </si>
  <si>
    <t>Owner</t>
  </si>
  <si>
    <t>Everyone</t>
  </si>
  <si>
    <t>Advisor</t>
  </si>
  <si>
    <t>Technician</t>
  </si>
  <si>
    <t>Parts coordinator</t>
  </si>
  <si>
    <t>Customer</t>
  </si>
  <si>
    <t>Manager</t>
  </si>
  <si>
    <t>Back office</t>
  </si>
  <si>
    <t>Marketing</t>
  </si>
  <si>
    <t>Driver</t>
  </si>
  <si>
    <t>Home technician</t>
  </si>
  <si>
    <t>Body shop advisor</t>
  </si>
  <si>
    <t>Body shop technician</t>
  </si>
  <si>
    <t>Body shop manager</t>
  </si>
  <si>
    <t>Driver (fleet)</t>
  </si>
  <si>
    <t>Fleet owner</t>
  </si>
  <si>
    <t>Body shop manager / advisor / technician</t>
  </si>
  <si>
    <t>Issues</t>
  </si>
  <si>
    <t>Open issues (Must fix)</t>
  </si>
  <si>
    <t>Open issues (all)</t>
  </si>
  <si>
    <t>Fixed, waiting for retest</t>
  </si>
  <si>
    <t>ID</t>
  </si>
  <si>
    <t>Day</t>
  </si>
  <si>
    <t>Section</t>
  </si>
  <si>
    <t>Module</t>
  </si>
  <si>
    <t>What to do</t>
  </si>
  <si>
    <t>Expected result</t>
  </si>
  <si>
    <t>Where</t>
  </si>
  <si>
    <t>Status</t>
  </si>
  <si>
    <t>Tested on</t>
  </si>
  <si>
    <t>Notes</t>
  </si>
  <si>
    <t>Issue ID</t>
  </si>
  <si>
    <t>0.01</t>
  </si>
  <si>
    <t>Day 1</t>
  </si>
  <si>
    <t>Setup</t>
  </si>
  <si>
    <t>Use a TEST copy of the database (e.g. test_eaerp_demo or a fresh copy), never live data</t>
  </si>
  <si>
    <t>You can create and cancel records freely</t>
  </si>
  <si>
    <t>.env DB_DATABASE</t>
  </si>
  <si>
    <t>0.02</t>
  </si>
  <si>
    <t>npm run build, delete public\hot, start: php artisan serve --host 0.0.0.0 --port 8000</t>
  </si>
  <si>
    <t>Sign-in page opens on a phone on the same Wi-Fi</t>
  </si>
  <si>
    <t>Installation Guide §2</t>
  </si>
  <si>
    <t>0.03</t>
  </si>
  <si>
    <t>Start the HTTPS tunnel (cloudflared) and set Settings › App Address &amp; Customer App › Public address + APP_URL</t>
  </si>
  <si>
    <t>Phones open the https address with a padlock; photos load</t>
  </si>
  <si>
    <t>Installation Guide §3</t>
  </si>
  <si>
    <t>0.04</t>
  </si>
  <si>
    <t>Keep php artisan schedule:work running in a second window</t>
  </si>
  <si>
    <t>Scheduled jobs run (CRM every 15 min, reminders, location clean-up, attendance close, fleet:daily)</t>
  </si>
  <si>
    <t>Command window</t>
  </si>
  <si>
    <t>0.05</t>
  </si>
  <si>
    <t>Check there is one login per role (Settings › Users &amp; App Logins); create Body shop manager / advisor / technician and Marketing users if missing</t>
  </si>
  <si>
    <t>Every role can sign in</t>
  </si>
  <si>
    <t>Settings › Users</t>
  </si>
  <si>
    <t>0.06</t>
  </si>
  <si>
    <t>Settings › Branches: workshop location (lat/lng), radius, weekly off for each branch</t>
  </si>
  <si>
    <t>Punching works only inside the radius</t>
  </si>
  <si>
    <t>Settings › Branches</t>
  </si>
  <si>
    <t>0.07</t>
  </si>
  <si>
    <t>Settings › App Address &amp; Customer App: UPI ID, payee name, helpline, code validity, phone notifications; Fleet cabs: driver limit ₹2,000, warning 500 km</t>
  </si>
  <si>
    <t>Saved; QR codes shown</t>
  </si>
  <si>
    <t>Settings › App Address &amp; Customer App</t>
  </si>
  <si>
    <t>0.08</t>
  </si>
  <si>
    <t>Settings › Modules: every module ON (Purchases &amp; stock, Accounts, CRM, Attendance &amp; payroll, Customer app, Fleet cabs &amp; drivers)</t>
  </si>
  <si>
    <t>All menus visible</t>
  </si>
  <si>
    <t>Settings › Modules</t>
  </si>
  <si>
    <t>0.09</t>
  </si>
  <si>
    <t>Install the staff APK on a driver phone and a technician phone (enter the tunnel address)</t>
  </si>
  <si>
    <t>EA Workshop app signs in</t>
  </si>
  <si>
    <t>Installation Guide §4</t>
  </si>
  <si>
    <t>0.10</t>
  </si>
  <si>
    <t>Optional: Settings › AI Assistant: add an Anthropic key, budget ₹200, switch on</t>
  </si>
  <si>
    <t>Assistant available in the customer app</t>
  </si>
  <si>
    <t>Settings › AI Assistant</t>
  </si>
  <si>
    <t>0.11</t>
  </si>
  <si>
    <t>Optional: Interakt test account (Growth or above): API key, webhook URL and secret key ready</t>
  </si>
  <si>
    <t>Needed for section 2b; otherwise mark 2b rows N/A where they need Interakt</t>
  </si>
  <si>
    <t>Interakt › Developer Settings</t>
  </si>
  <si>
    <t>0.12</t>
  </si>
  <si>
    <t>Sign-in</t>
  </si>
  <si>
    <t>Sign in with e-mail + password, then sign out; sign in with a phone-only login (mobile number)</t>
  </si>
  <si>
    <t>Both work; signing out returns to the sign-in page</t>
  </si>
  <si>
    <t>/login</t>
  </si>
  <si>
    <t>0.13</t>
  </si>
  <si>
    <t>Wrong password 3 times</t>
  </si>
  <si>
    <t>Clear error; no sign-in; no detail leaked</t>
  </si>
  <si>
    <t>0.14</t>
  </si>
  <si>
    <t>My Day</t>
  </si>
  <si>
    <t>Open My Day after sign-in</t>
  </si>
  <si>
    <t>Lists what to do now for your role (calls, messages, arriving cars, jobs, approvals)</t>
  </si>
  <si>
    <t>Home › My Day</t>
  </si>
  <si>
    <t>0.15</t>
  </si>
  <si>
    <t>Search</t>
  </si>
  <si>
    <t>Global search (magnifier / Ctrl + K): a phone number, a car number, a job number, a bill number, a booking number, a name</t>
  </si>
  <si>
    <t>Each finds the right record and opens it</t>
  </si>
  <si>
    <t>Top bar</t>
  </si>
  <si>
    <t>0.16</t>
  </si>
  <si>
    <t>Bell</t>
  </si>
  <si>
    <t>Open the bell; tap an alert; mark all read</t>
  </si>
  <si>
    <t>Opens the right screen; count clears</t>
  </si>
  <si>
    <t>0.17</t>
  </si>
  <si>
    <t>Branches</t>
  </si>
  <si>
    <t>Branch selector: switch between branches and All Branches</t>
  </si>
  <si>
    <t>Lists show only that branch's data</t>
  </si>
  <si>
    <t>1.01</t>
  </si>
  <si>
    <t>Customers</t>
  </si>
  <si>
    <t>Customers › New: name, mobile, source → Save → Add Vehicle (number, make, model, car type) → Create Job Card</t>
  </si>
  <si>
    <t>Customer, car and job card created in one flow</t>
  </si>
  <si>
    <t>1.02</t>
  </si>
  <si>
    <t>Job card</t>
  </si>
  <si>
    <t>Job card: Service Type = a plan (e.g. EA Pro), Engine Oil Type, odometer, fuel level, customer complaints line by line → Save</t>
  </si>
  <si>
    <t>Oil grades limited to those priced for the plan and car type; odometer and fuel required</t>
  </si>
  <si>
    <t>Workshop › Job Cards › New</t>
  </si>
  <si>
    <t>1.03</t>
  </si>
  <si>
    <t>Assign technicians (lead + others) and a bay right after creating</t>
  </si>
  <si>
    <t>Technicians get a bell; bay shows on the job</t>
  </si>
  <si>
    <t>Job card › Technicians &amp; Bay</t>
  </si>
  <si>
    <t>1.04</t>
  </si>
  <si>
    <t>Workshop</t>
  </si>
  <si>
    <t>Intake: trial drive notes + minimum arrival photos / videos</t>
  </si>
  <si>
    <t>Job cannot move on until the minimum media is uploaded</t>
  </si>
  <si>
    <t>Job card › Intake</t>
  </si>
  <si>
    <t>1.05</t>
  </si>
  <si>
    <t>Watch the stage move by itself as steps are done (Next Step box)</t>
  </si>
  <si>
    <t>Status changes automatically; Next Step says what it waits for</t>
  </si>
  <si>
    <t>Job card header</t>
  </si>
  <si>
    <t>1.06</t>
  </si>
  <si>
    <t>Job sheet</t>
  </si>
  <si>
    <t>My Jobs › open the job sheet: mark activities Done / N/A; add photos where marked ***</t>
  </si>
  <si>
    <t>Media-required activities refuse Done without the photo/video; N/A needs no media</t>
  </si>
  <si>
    <t>My Jobs › Job sheet</t>
  </si>
  <si>
    <t>1.07</t>
  </si>
  <si>
    <t>Flag an activity with ⚠ (problem found)</t>
  </si>
  <si>
    <t>It becomes a line in Additional Issues</t>
  </si>
  <si>
    <t>1.08</t>
  </si>
  <si>
    <t>Additional Issues: add a finding with a photo of the faulty part FIRST, then Parts Required, then Submit to SA for Parts</t>
  </si>
  <si>
    <t>Advisor gets the parts request; technician sees no prices</t>
  </si>
  <si>
    <t>Job sheet › Additional Issues</t>
  </si>
  <si>
    <t>1.09</t>
  </si>
  <si>
    <t>Parts</t>
  </si>
  <si>
    <t>Review the technician's parts and forward them to the parts coordinator</t>
  </si>
  <si>
    <t>Parts Desk shows the request</t>
  </si>
  <si>
    <t>Job card › Parts</t>
  </si>
  <si>
    <t>1.10</t>
  </si>
  <si>
    <t>Parts Desk: enter supplier, GST-inclusive cost; margin % applied</t>
  </si>
  <si>
    <t>Advisor, owner and managers get a bell with the prices (not the technician)</t>
  </si>
  <si>
    <t>Parts &amp; Stock › Parts Desk</t>
  </si>
  <si>
    <t>1.11</t>
  </si>
  <si>
    <t>Estimate</t>
  </si>
  <si>
    <t>Estimate: plan lines + the additional part and labour (from the labour charges master); discount; Send</t>
  </si>
  <si>
    <t>Customer message prepared (share link); cost and margin never shown to the customer</t>
  </si>
  <si>
    <t>Job card › Estimate</t>
  </si>
  <si>
    <t>1.12</t>
  </si>
  <si>
    <t>Open the WhatsApp job link: approve one item, decline one, add a comment, Send</t>
  </si>
  <si>
    <t>Advisor gets a bell; declined line shows under Observations as "Recommended but not approved by customer"</t>
  </si>
  <si>
    <t>Customer job page /j/…</t>
  </si>
  <si>
    <t>1.13</t>
  </si>
  <si>
    <t>Record a decision on the customer's behalf (with a note)</t>
  </si>
  <si>
    <t>Logged with the note; the customer is informed</t>
  </si>
  <si>
    <t>Estimate editor</t>
  </si>
  <si>
    <t>1.14</t>
  </si>
  <si>
    <t>Purchases</t>
  </si>
  <si>
    <t>Order the approved part; receive it on a GRN with a photo per part (GST bill or not, credit or cash)</t>
  </si>
  <si>
    <t>Part shows received; technician and advisor get a bell</t>
  </si>
  <si>
    <t>Parts &amp; Stock › GRN</t>
  </si>
  <si>
    <t>1.15</t>
  </si>
  <si>
    <t>Mark the part Right / Wrong before fitting; then the fitted photo, then Done on the issue line</t>
  </si>
  <si>
    <t>Fitted photo allowed only after the part arrived; activity ticked Done automatically</t>
  </si>
  <si>
    <t>1.16</t>
  </si>
  <si>
    <t>Try to submit a sheet with an activity marked ✗ (not done)</t>
  </si>
  <si>
    <t>Submit is blocked unless a manager overrides with a reason</t>
  </si>
  <si>
    <t>1.17</t>
  </si>
  <si>
    <t>Observations tab: add one, Submit for Report</t>
  </si>
  <si>
    <t>Advisor gets a bell; advisor can toggle "show to customer"</t>
  </si>
  <si>
    <t>Job sheet › Observations</t>
  </si>
  <si>
    <t>1.18</t>
  </si>
  <si>
    <t>Record Trial drive OK, then Washing done</t>
  </si>
  <si>
    <t>Stage moves to Final QC</t>
  </si>
  <si>
    <t>1.19</t>
  </si>
  <si>
    <t>Final QC: 3 random hidden spot-check points with a photo taken within 30 s</t>
  </si>
  <si>
    <t>A gallery picture or a late photo is refused</t>
  </si>
  <si>
    <t>Job card › Final QC</t>
  </si>
  <si>
    <t>1.20</t>
  </si>
  <si>
    <t>Customer gallery</t>
  </si>
  <si>
    <t>Customer page: photos section by section (arrival, job sheet, before/after)</t>
  </si>
  <si>
    <t>Advisor can hide a photo; QC photos are not shown</t>
  </si>
  <si>
    <t>Customer job page</t>
  </si>
  <si>
    <t>1.21</t>
  </si>
  <si>
    <t>Billing</t>
  </si>
  <si>
    <t>Make bill (proforma) → check lines (plan lines with HSN) → Approve</t>
  </si>
  <si>
    <t>Bill made only after final QC; it waits while a part is not on a GRN</t>
  </si>
  <si>
    <t>Job card › Billing &amp; Delivery</t>
  </si>
  <si>
    <t>1.22</t>
  </si>
  <si>
    <t>Record an advance earlier, then a split payment (cash + UPI + card)</t>
  </si>
  <si>
    <t>Each part recorded; balance correct</t>
  </si>
  <si>
    <t>Billing › Record payment</t>
  </si>
  <si>
    <t>1.23</t>
  </si>
  <si>
    <t>Customer app: Pay by UPI part of the balance and send a UTR</t>
  </si>
  <si>
    <t>"Being checked" in the app; back office gets a bell</t>
  </si>
  <si>
    <t>Customer app › Job</t>
  </si>
  <si>
    <t>1.24</t>
  </si>
  <si>
    <t>Billing › UPI Payments to Confirm → Confirm &amp; record</t>
  </si>
  <si>
    <t>Payment recorded as UPI with the UTR; app shows Received</t>
  </si>
  <si>
    <t>Billing › UPI Payments to Confirm</t>
  </si>
  <si>
    <t>1.25</t>
  </si>
  <si>
    <t>Convert to tax invoice; download the PDF</t>
  </si>
  <si>
    <t>GST extracted from inclusive prices; discount shown above taxable value</t>
  </si>
  <si>
    <t>Billing › Invoices</t>
  </si>
  <si>
    <t>1.26</t>
  </si>
  <si>
    <t>Paid in full → gate pass issued by itself → Vehicle out</t>
  </si>
  <si>
    <t>Job delivered; stage message prepared</t>
  </si>
  <si>
    <t>1.27</t>
  </si>
  <si>
    <t>Reports</t>
  </si>
  <si>
    <t>Service report released (plans 360 / Elite)</t>
  </si>
  <si>
    <t>Report PDF on the customer page; not sent for other plans</t>
  </si>
  <si>
    <t>1.28</t>
  </si>
  <si>
    <t>CRM</t>
  </si>
  <si>
    <t>After delivery: thank-you message with 1-tap rating and referral link; rate the job</t>
  </si>
  <si>
    <t>Rating shows in CRM › Insights &amp; Feedback</t>
  </si>
  <si>
    <t>Messages to Send / /c/… link</t>
  </si>
  <si>
    <t>1.29</t>
  </si>
  <si>
    <t>Customer app</t>
  </si>
  <si>
    <t>Customer app inbox shows the stage updates for this job</t>
  </si>
  <si>
    <t>One item per stage, no duplicates</t>
  </si>
  <si>
    <t>Customer app › Inbox</t>
  </si>
  <si>
    <t>1b.01</t>
  </si>
  <si>
    <t>Day 2</t>
  </si>
  <si>
    <t>Modules</t>
  </si>
  <si>
    <t>Settings › Modules: switch Purchases &amp; stock OFF</t>
  </si>
  <si>
    <t>GRN screens disappear from the menu</t>
  </si>
  <si>
    <t>1b.02</t>
  </si>
  <si>
    <t>Mark a part Received on the Parts Desk (no GRN)</t>
  </si>
  <si>
    <t>Technician and advisor get a bell; no Right/Wrong check needed</t>
  </si>
  <si>
    <t>Parts Desk</t>
  </si>
  <si>
    <t>1b.03</t>
  </si>
  <si>
    <t>Make the bill</t>
  </si>
  <si>
    <t>Not blocked by GRNs</t>
  </si>
  <si>
    <t>Job card › Billing</t>
  </si>
  <si>
    <t>1b.04</t>
  </si>
  <si>
    <t>Switch Purchases &amp; stock back ON</t>
  </si>
  <si>
    <t>Menus return; nothing lost</t>
  </si>
  <si>
    <t>1c.01</t>
  </si>
  <si>
    <t>New job card with Service Type = a repair type (General repair / AC / Electrical / Body shop / Detailing), no plan</t>
  </si>
  <si>
    <t>No engine oil asked; the right job sheets are created</t>
  </si>
  <si>
    <t>1c.02</t>
  </si>
  <si>
    <t>Job Cards list: filter by status, search by car / customer / job number, open one</t>
  </si>
  <si>
    <t>Filters and search work; counts correct</t>
  </si>
  <si>
    <t>Workshop › Job Cards</t>
  </si>
  <si>
    <t>1c.03</t>
  </si>
  <si>
    <t>Edit a job card: complaints lines, estimated delivery, odometer</t>
  </si>
  <si>
    <t>Saved; complaints become Additional Issues lines</t>
  </si>
  <si>
    <t>Job card › Edit</t>
  </si>
  <si>
    <t>1c.04</t>
  </si>
  <si>
    <t>Move the car to another bay; add a co-technician; change the lead technician</t>
  </si>
  <si>
    <t>One bay at a time, with move history; new technician gets a bell</t>
  </si>
  <si>
    <t>1c.05</t>
  </si>
  <si>
    <t>Type a part directly on the estimate (not from the parts desk), customer approves it</t>
  </si>
  <si>
    <t>The part goes to the Parts Desk once approved</t>
  </si>
  <si>
    <t>1c.06</t>
  </si>
  <si>
    <t>Change the estimate after sending (add a line) and send again</t>
  </si>
  <si>
    <t>New version; earlier decisions carried over; customer sees only the new pending line</t>
  </si>
  <si>
    <t>1c.07</t>
  </si>
  <si>
    <t>Approve all / Decline all on the job page</t>
  </si>
  <si>
    <t>Every additional line answered at once; plan lines stay "Included in plan"</t>
  </si>
  <si>
    <t>1c.08</t>
  </si>
  <si>
    <t>Send an approval reminder; download the estimate PDF</t>
  </si>
  <si>
    <t>Reminder message prepared; PDF without cost / margin</t>
  </si>
  <si>
    <t>1c.09</t>
  </si>
  <si>
    <t>Decision log on the estimate</t>
  </si>
  <si>
    <t>Every change with who, how (customer / advisor / fleet driver), when and note</t>
  </si>
  <si>
    <t>Estimate editor › Decisions</t>
  </si>
  <si>
    <t>1c.10</t>
  </si>
  <si>
    <t>Customer link</t>
  </si>
  <si>
    <t>Regenerate the customer's job link (forwarded by mistake)</t>
  </si>
  <si>
    <t>Old link stops working; new link sent</t>
  </si>
  <si>
    <t>Job card › Customer messages</t>
  </si>
  <si>
    <t>1c.11</t>
  </si>
  <si>
    <t>Additional Issues: Defer a line</t>
  </si>
  <si>
    <t>Shows under Observations with a remark</t>
  </si>
  <si>
    <t>1c.12</t>
  </si>
  <si>
    <t>Open a technician's sheet as advisor / manager</t>
  </si>
  <si>
    <t>View only; manager has Reopen and override-submit</t>
  </si>
  <si>
    <t>1c.13</t>
  </si>
  <si>
    <t>Final QC fails (spot-check not OK) → send back</t>
  </si>
  <si>
    <t>Job returns to work; people move it on after the fix</t>
  </si>
  <si>
    <t>1c.14</t>
  </si>
  <si>
    <t>Parts Desk tabs: To procure / All parts; quantity totals; received parts stay on To procure 14 days</t>
  </si>
  <si>
    <t>Lists and totals correct</t>
  </si>
  <si>
    <t>1c.15</t>
  </si>
  <si>
    <t>Proforma: add an "other item" with GST yes (18%) and one with GST no; delete one line before converting</t>
  </si>
  <si>
    <t>GST added on top only for "yes"; deleted line not on the tax invoice</t>
  </si>
  <si>
    <t>1c.16</t>
  </si>
  <si>
    <t>Close a paid proforma without a tax invoice</t>
  </si>
  <si>
    <t>Proforma closed; gate pass possible</t>
  </si>
  <si>
    <t>1c.17</t>
  </si>
  <si>
    <t>Billing › Invoices and Payments lists: filters, search, PDFs</t>
  </si>
  <si>
    <t>All bills and receipts listed with the right totals</t>
  </si>
  <si>
    <t>1c.18</t>
  </si>
  <si>
    <t>Customer page: visits, spent, rating, credit, next service due and one history (enquiries, bookings, jobs, bills, messages)</t>
  </si>
  <si>
    <t>All earlier activity shows</t>
  </si>
  <si>
    <t>Customers › customer</t>
  </si>
  <si>
    <t>1c.19</t>
  </si>
  <si>
    <t>Add a vehicle with a number that already exists</t>
  </si>
  <si>
    <t>Refused with a clear message</t>
  </si>
  <si>
    <t>Vehicles › New</t>
  </si>
  <si>
    <t>2.01</t>
  </si>
  <si>
    <t>Settings › Lead Sources &amp; Webhooks: copy a webhook link and send a test lead (browser or Pabbly/Zapier)</t>
  </si>
  <si>
    <t>Lead appears in Leads › Today, assigned round-robin</t>
  </si>
  <si>
    <t>Settings › CRM</t>
  </si>
  <si>
    <t>2.02</t>
  </si>
  <si>
    <t>Quick-add a lead from a phone call; also try CSV import</t>
  </si>
  <si>
    <t>Duplicate phone joins the open lead instead of making a new one</t>
  </si>
  <si>
    <t>CRM › Leads</t>
  </si>
  <si>
    <t>2.03</t>
  </si>
  <si>
    <t>Leave a new lead uncalled past 15 minutes (or run php artisan crm:run)</t>
  </si>
  <si>
    <t>Reminder bell; at twice the time the manager is alerted</t>
  </si>
  <si>
    <t>2.04</t>
  </si>
  <si>
    <t>Log a call: outcome no answer / call back / interested</t>
  </si>
  <si>
    <t>Next follow-up set by itself</t>
  </si>
  <si>
    <t>Lead › Call</t>
  </si>
  <si>
    <t>2.05</t>
  </si>
  <si>
    <t>Send prices: pick a plan and car type</t>
  </si>
  <si>
    <t>Message has the plan, the price for that car type and a booking link</t>
  </si>
  <si>
    <t>Lead › Send prices</t>
  </si>
  <si>
    <t>2.06</t>
  </si>
  <si>
    <t>Messages to Send: send it by tapping (share link)</t>
  </si>
  <si>
    <t>WhatsApp opens with the text; marked sent; logged on the lead</t>
  </si>
  <si>
    <t>CRM › Messages to Send</t>
  </si>
  <si>
    <t>2.07</t>
  </si>
  <si>
    <t>Open the booking link, pick day and slot, Book</t>
  </si>
  <si>
    <t>Booking "To confirm"; desk gets a bell</t>
  </si>
  <si>
    <t>/c/… link</t>
  </si>
  <si>
    <t>2.08</t>
  </si>
  <si>
    <t>Bookings</t>
  </si>
  <si>
    <t>Confirm the booking; send the reminder (after 17:00 the day before, or crm:run)</t>
  </si>
  <si>
    <t>Confirmation and reminder messages prepared</t>
  </si>
  <si>
    <t>CRM › Bookings</t>
  </si>
  <si>
    <t>2.09</t>
  </si>
  <si>
    <t>Car arrived → job card form opens already filled from the booking</t>
  </si>
  <si>
    <t>Customer, car and plan pre-filled</t>
  </si>
  <si>
    <t>2.10</t>
  </si>
  <si>
    <t>Another booking: move it, then mark Did not come (or wait 3 h after the slot)</t>
  </si>
  <si>
    <t>No-show recorded; lead follow-up continues</t>
  </si>
  <si>
    <t>2.11</t>
  </si>
  <si>
    <t>Book a full slot; book a day with no slots</t>
  </si>
  <si>
    <t>Full slot refused; a closed day says so</t>
  </si>
  <si>
    <t>Booking dialog</t>
  </si>
  <si>
    <t>2.12</t>
  </si>
  <si>
    <t>Close a lead as lost with a "not now" reason; then Reopen it</t>
  </si>
  <si>
    <t>Gentle messages every few weeks (journey); reopen brings it back</t>
  </si>
  <si>
    <t>Lead › Close</t>
  </si>
  <si>
    <t>2.13</t>
  </si>
  <si>
    <t>Stop messages for a lead</t>
  </si>
  <si>
    <t>No more marketing messages to that number</t>
  </si>
  <si>
    <t>Lead › Stop messages</t>
  </si>
  <si>
    <t>2.14</t>
  </si>
  <si>
    <t>Reassign a lead to another executive</t>
  </si>
  <si>
    <t>New owner gets a bell; their waiting messages move too</t>
  </si>
  <si>
    <t>Lead › Assign</t>
  </si>
  <si>
    <t>2.15</t>
  </si>
  <si>
    <t>Leads › Board and All Leads: filters (status, source, temperature, owner)</t>
  </si>
  <si>
    <t>Correct lists; hot leads first</t>
  </si>
  <si>
    <t>2.16</t>
  </si>
  <si>
    <t>Settings › Journeys / Creatives: add a creative with an image and a caption; put it in a journey</t>
  </si>
  <si>
    <t>Journey messages appear in Messages to Send on schedule (crm:run), only in sending hours, at most one per person per cap days</t>
  </si>
  <si>
    <t>2.17</t>
  </si>
  <si>
    <t>php artisan crm:daily: service due, insurance due, win-back, pending work</t>
  </si>
  <si>
    <t>Leads / messages created for due customers</t>
  </si>
  <si>
    <t>2.18</t>
  </si>
  <si>
    <t>Insights &amp; Feedback: sources, conversion, ratings, ad spend per campaign</t>
  </si>
  <si>
    <t>Numbers match what you did</t>
  </si>
  <si>
    <t>CRM › Insights &amp; Feedback</t>
  </si>
  <si>
    <t>2.19</t>
  </si>
  <si>
    <t>Feedback</t>
  </si>
  <si>
    <t>Rate a delivered job 2★ with a comment; another 5★</t>
  </si>
  <si>
    <t>Manager alerted for the low rating; 5★ is asked for a Google review</t>
  </si>
  <si>
    <t>/c/… feedback link</t>
  </si>
  <si>
    <t>2.20</t>
  </si>
  <si>
    <t>Referral</t>
  </si>
  <si>
    <t>A new customer comes in with an existing customer's referral link and gets the car delivered</t>
  </si>
  <si>
    <t>Referrer gets the referral credit in their wallet</t>
  </si>
  <si>
    <t>Customer app › Wallet</t>
  </si>
  <si>
    <t>2.21</t>
  </si>
  <si>
    <t>Open the "stop messages" link in a CRM message</t>
  </si>
  <si>
    <t>Opted out; no more marketing messages</t>
  </si>
  <si>
    <t>2.22</t>
  </si>
  <si>
    <t>Campaigns &amp; Ad Spend: add a campaign and a month's spend</t>
  </si>
  <si>
    <t>Cost per lead / booking appears in Insights</t>
  </si>
  <si>
    <t>Settings › CRM › Campaigns</t>
  </si>
  <si>
    <t>2b.01</t>
  </si>
  <si>
    <t>Day 3</t>
  </si>
  <si>
    <t>WhatsApp settings</t>
  </si>
  <si>
    <t>Settings › CRM › WhatsApp &amp; Interakt opens (the old Settings › WhatsApp address redirects there)</t>
  </si>
  <si>
    <t>Three tabs: Connection, Templates &amp; buttons, Contacts &amp; events</t>
  </si>
  <si>
    <t>Settings › CRM › WhatsApp &amp; Interakt</t>
  </si>
  <si>
    <t>2b.02</t>
  </si>
  <si>
    <t>Try to open WhatsApp &amp; Interakt as manager</t>
  </si>
  <si>
    <t>Not allowed (owner only)</t>
  </si>
  <si>
    <t>Settings</t>
  </si>
  <si>
    <t>2b.03</t>
  </si>
  <si>
    <t>Leave Share links: send a job message and a CRM message</t>
  </si>
  <si>
    <t>Both wait in Messages to Send; inbox says Interakt is off</t>
  </si>
  <si>
    <t>Connection</t>
  </si>
  <si>
    <t>2b.04</t>
  </si>
  <si>
    <t>Connection: paste the API key, copy the Webhook URL and the same secret key into Interakt, choose Interakt, Save; Send a test message</t>
  </si>
  <si>
    <t>Interakt on; test message arrives on the phone</t>
  </si>
  <si>
    <t>2b.05</t>
  </si>
  <si>
    <t>Try to switch Interakt on without a key</t>
  </si>
  <si>
    <t>Refused: enter the key first</t>
  </si>
  <si>
    <t>2b.06</t>
  </si>
  <si>
    <t>Templates &amp; buttons › Fetch from Interakt</t>
  </si>
  <si>
    <t>Your templates listed with language and status; or a clear "type the names by hand" message</t>
  </si>
  <si>
    <t>Templates &amp; buttons</t>
  </si>
  <si>
    <t>2b.07</t>
  </si>
  <si>
    <t>For Estimate ready, Payment received, Plan quote and Chat opener: copy "Text for Interakt", create + get approved, pick the template, check values, Save templates</t>
  </si>
  <si>
    <t>Green tick and "approved" badge on each</t>
  </si>
  <si>
    <t>2b.08</t>
  </si>
  <si>
    <t>Plan quote: set buttons Interested → lead interested, Call me → call me, Not now → not now; Save</t>
  </si>
  <si>
    <t>Saved; the buttons listed under the template</t>
  </si>
  <si>
    <t>2b.09</t>
  </si>
  <si>
    <t>Messages</t>
  </si>
  <si>
    <t>Send an estimate on a job (template mapped)</t>
  </si>
  <si>
    <t>Goes by itself (not in Messages to Send); ✓✓ ticks arrive; also shows in the customer's chat in the inbox</t>
  </si>
  <si>
    <t>2b.10</t>
  </si>
  <si>
    <t>A message kind with no template (e.g. Gallery update)</t>
  </si>
  <si>
    <t>Stays in Messages to Send with the reason</t>
  </si>
  <si>
    <t>2b.11</t>
  </si>
  <si>
    <t>Inbox</t>
  </si>
  <si>
    <t>From a new number (not a customer) send "Hi, price of full service for my Swift?" to the workshop WhatsApp</t>
  </si>
  <si>
    <t>Within a minute: new lead (source WhatsApp chat), assigned round-robin with a bell; chat in CRM › WhatsApp Inbox</t>
  </si>
  <si>
    <t>Phone → CRM › WhatsApp Inbox</t>
  </si>
  <si>
    <t>2b.12</t>
  </si>
  <si>
    <t>Open the chat (Mine / Unread); reply with text</t>
  </si>
  <si>
    <t>Customer receives it; ✓ / ✓✓ / blue ✓✓ appear; logged on the lead</t>
  </si>
  <si>
    <t>CRM › WhatsApp Inbox</t>
  </si>
  <si>
    <t>2b.13</t>
  </si>
  <si>
    <t>Reply with a photo and with a PDF</t>
  </si>
  <si>
    <t>Both arrive on the phone</t>
  </si>
  <si>
    <t>WhatsApp Inbox</t>
  </si>
  <si>
    <t>2b.14</t>
  </si>
  <si>
    <t>Reply again from the phone</t>
  </si>
  <si>
    <t>Message in the same chat; unread number; bell at most every 15 min per chat</t>
  </si>
  <si>
    <t>2b.15</t>
  </si>
  <si>
    <t>Send a photo, a voice note and a document from the phone</t>
  </si>
  <si>
    <t>Each shows in the chat (open / download)</t>
  </si>
  <si>
    <t>2b.16</t>
  </si>
  <si>
    <t>Chat older than 24 h since their last message (use an old chat or wait)</t>
  </si>
  <si>
    <t>Text box replaced by a template picker; Chat opener sends; their reply opens the box again</t>
  </si>
  <si>
    <t>2b.17</t>
  </si>
  <si>
    <t>Campaign with WhatsApp start text "Hi, I want the monsoon check-up offer"; from another new number send exactly that</t>
  </si>
  <si>
    <t>Lead source Click-to-WhatsApp ad, that campaign; chat shows "Started from an ad"</t>
  </si>
  <si>
    <t>Settings › CRM › Campaigns; Inbox</t>
  </si>
  <si>
    <t>2b.18</t>
  </si>
  <si>
    <t>A customer whose car is in the workshop sends "Is my car ready?"</t>
  </si>
  <si>
    <t>No new lead; chat goes to that job's advisor with a bell; header links the job</t>
  </si>
  <si>
    <t>2b.19</t>
  </si>
  <si>
    <t>A number with an open lead writes again</t>
  </si>
  <si>
    <t>Added to the lead timeline; no second lead; lead warmer</t>
  </si>
  <si>
    <t>Lead page</t>
  </si>
  <si>
    <t>2b.20</t>
  </si>
  <si>
    <t>Reply STOP</t>
  </si>
  <si>
    <t>Marked "No marketing messages"; no more journey / offer messages</t>
  </si>
  <si>
    <t>Lead / customer</t>
  </si>
  <si>
    <t>2b.21</t>
  </si>
  <si>
    <t>Filters: Mine, Unread, Nobody's; search by name / number / text; Closed list</t>
  </si>
  <si>
    <t>Correct chats in each</t>
  </si>
  <si>
    <t>2b.22</t>
  </si>
  <si>
    <t>All filter; Give to… another executive</t>
  </si>
  <si>
    <t>Manager sees every chat; new owner gets a bell</t>
  </si>
  <si>
    <t>2b.23</t>
  </si>
  <si>
    <t>Open another executive's chat by its link</t>
  </si>
  <si>
    <t>Not shown (404); Nobody's chats can be taken</t>
  </si>
  <si>
    <t>2b.24</t>
  </si>
  <si>
    <t>Close a chat; the customer writes again</t>
  </si>
  <si>
    <t>Chat reopens by itself</t>
  </si>
  <si>
    <t>2b.25</t>
  </si>
  <si>
    <t>Chat of a customer with no lead → Make lead</t>
  </si>
  <si>
    <t>Lead created (source WhatsApp chat) with the first message as requirement</t>
  </si>
  <si>
    <t>2b.26</t>
  </si>
  <si>
    <t>Lead page: WhatsApp chat card; reply from there; "Start one" on a lead with no chat</t>
  </si>
  <si>
    <t>Same chat as the inbox; Start one asks for a template</t>
  </si>
  <si>
    <t>CRM › Lead</t>
  </si>
  <si>
    <t>2b.27</t>
  </si>
  <si>
    <t>Buttons</t>
  </si>
  <si>
    <t>Send a Plan quote (with buttons) to a lead; tap Interested</t>
  </si>
  <si>
    <t>Lead becomes Interested, follow-up today; "Tapped: Interested" in the chat and timeline</t>
  </si>
  <si>
    <t>Phone → Lead</t>
  </si>
  <si>
    <t>2b.28</t>
  </si>
  <si>
    <t>Tap Call me; another lead taps Not now</t>
  </si>
  <si>
    <t>Call me: follow-up now + bell to the executive. Not now: follow-up in 30 days</t>
  </si>
  <si>
    <t>Lead</t>
  </si>
  <si>
    <t>2b.29</t>
  </si>
  <si>
    <t>Templates</t>
  </si>
  <si>
    <t>Get a template rejected or paused in Interakt (or wait for one)</t>
  </si>
  <si>
    <t>Badge shows rejected; owner gets a bell; that message falls back to the share link</t>
  </si>
  <si>
    <t>2b.30</t>
  </si>
  <si>
    <t>Webhook</t>
  </si>
  <si>
    <t>Connection › What Interakt has sent us</t>
  </si>
  <si>
    <t>Lists message_received, sent / delivered / read, clicked … with counts; warning if no chats arrive (plan)</t>
  </si>
  <si>
    <t>2b.31</t>
  </si>
  <si>
    <t>Change the secret key here only (not in Interakt), send a WhatsApp from a phone</t>
  </si>
  <si>
    <t>Message refused (bad signature) and not in the inbox; put the same key back → works</t>
  </si>
  <si>
    <t>2b.32</t>
  </si>
  <si>
    <t>Sync</t>
  </si>
  <si>
    <t>Contacts &amp; events: tick Send contacts and Send events; Send all contacts now</t>
  </si>
  <si>
    <t>Waiting count rises then falls over 15-min runs (or php artisan crm:interakt-sync); contacts appear in Interakt with traits and tags</t>
  </si>
  <si>
    <t>Contacts &amp; events; Interakt › Contacts</t>
  </si>
  <si>
    <t>2b.33</t>
  </si>
  <si>
    <t>Create a lead, confirm a booking, deliver a job</t>
  </si>
  <si>
    <t>Events LeadCreated, BookingConfirmed, JobDelivered show on the contact in Interakt</t>
  </si>
  <si>
    <t>Interakt › Contacts › timeline</t>
  </si>
  <si>
    <t>2b.34</t>
  </si>
  <si>
    <t>In Interakt make an Ongoing campaign triggered by event ServiceDue; run php artisan crm:daily for a car due in 7 days</t>
  </si>
  <si>
    <t>Interakt sends that campaign's template by itself</t>
  </si>
  <si>
    <t>Interakt</t>
  </si>
  <si>
    <t>2b.35</t>
  </si>
  <si>
    <t>Switch "Give chats to the same person in Interakt" on; give a chat to someone whose e-mail is their Interakt login</t>
  </si>
  <si>
    <t>Chat assigned to them in Interakt's inbox too</t>
  </si>
  <si>
    <t>Connection; Interakt inbox</t>
  </si>
  <si>
    <t>2b.36</t>
  </si>
  <si>
    <t>Sign-in code</t>
  </si>
  <si>
    <t>With the customer_otp template mapped: customer app › Get my sign-in code</t>
  </si>
  <si>
    <t>Code arrives on WhatsApp (not read out by staff)</t>
  </si>
  <si>
    <t>/app/login</t>
  </si>
  <si>
    <t>2b.37</t>
  </si>
  <si>
    <t>Switch back</t>
  </si>
  <si>
    <t>Switch back to Share links</t>
  </si>
  <si>
    <t>Messages wait for tapping again; nothing lost; inbox says Interakt is off</t>
  </si>
  <si>
    <t>3.01</t>
  </si>
  <si>
    <t>Trips</t>
  </si>
  <si>
    <t>Job card (or booking) with Pickup &amp; drop: address (saved addresses offered), slot; assign a driver</t>
  </si>
  <si>
    <t>Pickup and drop trips created; driver gets a bell; pickup message prepared</t>
  </si>
  <si>
    <t>Workshop › Pickups &amp; Drops</t>
  </si>
  <si>
    <t>3.02</t>
  </si>
  <si>
    <t>Staff app: punch in from the road (on a trip day)</t>
  </si>
  <si>
    <t>Punch accepted outside the workshop</t>
  </si>
  <si>
    <t>My Attendance</t>
  </si>
  <si>
    <t>3.03</t>
  </si>
  <si>
    <t>Live location</t>
  </si>
  <si>
    <t>Accept the location notice; lock the phone; drive / walk 10 minutes</t>
  </si>
  <si>
    <t>Green "Sharing your location" line; notification while locked</t>
  </si>
  <si>
    <t>Staff app</t>
  </si>
  <si>
    <t>3.04</t>
  </si>
  <si>
    <t>My Trips › Start → Navigate</t>
  </si>
  <si>
    <t>Maps opens to the customer; customer gets "on the way"</t>
  </si>
  <si>
    <t>My Trips</t>
  </si>
  <si>
    <t>3.05</t>
  </si>
  <si>
    <t>Customer app › the job: driver on the map with distance and ETA; WhatsApp page shows "on the way"</t>
  </si>
  <si>
    <t>Position updates about every 30 s</t>
  </si>
  <si>
    <t>3.06</t>
  </si>
  <si>
    <t>Live map</t>
  </si>
  <si>
    <t>People › Live Staff Map</t>
  </si>
  <si>
    <t>Driver shows Moving, with the trip, battery and "Android app"</t>
  </si>
  <si>
    <t>3.07</t>
  </si>
  <si>
    <t>Arrived → odometer, fuel, unlimited intake photos/videos → Collected</t>
  </si>
  <si>
    <t>This counts as the intake; the advisor does not repeat it</t>
  </si>
  <si>
    <t>Trip screen</t>
  </si>
  <si>
    <t>3.08</t>
  </si>
  <si>
    <t>Collect money from the customer on the trip</t>
  </si>
  <si>
    <t>Shows as money the driver holds (Staff Money)</t>
  </si>
  <si>
    <t>Trip › Payment</t>
  </si>
  <si>
    <t>3.09</t>
  </si>
  <si>
    <t>Drop: try before the gate pass, then after full payment; handover photos → Delivered</t>
  </si>
  <si>
    <t>Drop refused until the gate pass exists</t>
  </si>
  <si>
    <t>3.10</t>
  </si>
  <si>
    <t>Pickups &amp; Drops board: reassign a trip, change its slot, cancel one</t>
  </si>
  <si>
    <t>Board updates; new driver gets a bell</t>
  </si>
  <si>
    <t>3.11</t>
  </si>
  <si>
    <t>Home service</t>
  </si>
  <si>
    <t>Home visit job: its own job sheet; close the visit with the photos asked for</t>
  </si>
  <si>
    <t>Workshop-only activities hidden</t>
  </si>
  <si>
    <t>My Trips › Home visit</t>
  </si>
  <si>
    <t>3.12</t>
  </si>
  <si>
    <t>Choose a plan not offered at home for a home-service job</t>
  </si>
  <si>
    <t>Refused: plan not offered as home service</t>
  </si>
  <si>
    <t>Job card form</t>
  </si>
  <si>
    <t>3.13</t>
  </si>
  <si>
    <t>Pickup / drop / home charges on the bill</t>
  </si>
  <si>
    <t>Charges from Settings › Pickup, Drop &amp; Home Service</t>
  </si>
  <si>
    <t>Bill</t>
  </si>
  <si>
    <t>3.14</t>
  </si>
  <si>
    <t>Tap the driver: day route, km, stops, gaps; change the date</t>
  </si>
  <si>
    <t>Route matches the drive</t>
  </si>
  <si>
    <t>Live Staff Map</t>
  </si>
  <si>
    <t>3.15</t>
  </si>
  <si>
    <t>Punch out</t>
  </si>
  <si>
    <t>Sharing stops; map shows Punched out</t>
  </si>
  <si>
    <t>4.01</t>
  </si>
  <si>
    <t>Assistant</t>
  </si>
  <si>
    <t>Customer app › Ask › Accident help: describe + 2 damage photos</t>
  </si>
  <si>
    <t>Damage list, rough range from the body-shop guide, claim steps</t>
  </si>
  <si>
    <t>Customer app › Ask</t>
  </si>
  <si>
    <t>4.02</t>
  </si>
  <si>
    <t>Get it inspected</t>
  </si>
  <si>
    <t>Body-shop lead created (source Customer app) with the summary</t>
  </si>
  <si>
    <t>4.03</t>
  </si>
  <si>
    <t>Body shop</t>
  </si>
  <si>
    <t>Open a body-shop job card from the lead; Body Shop job sheet</t>
  </si>
  <si>
    <t>Body Shop master activities used</t>
  </si>
  <si>
    <t>4.04</t>
  </si>
  <si>
    <t>Work the body-shop sheet with photos</t>
  </si>
  <si>
    <t>As for mechanical sheets</t>
  </si>
  <si>
    <t>My Jobs</t>
  </si>
  <si>
    <t>4.05</t>
  </si>
  <si>
    <t>Oversee body-shop jobs across branches</t>
  </si>
  <si>
    <t>Sees body-shop jobs; QC and overrides</t>
  </si>
  <si>
    <t>Job Cards</t>
  </si>
  <si>
    <t>5.01</t>
  </si>
  <si>
    <t>Day 1–4</t>
  </si>
  <si>
    <t>Attendance</t>
  </si>
  <si>
    <t>Punch in with a selfie inside the workshop</t>
  </si>
  <si>
    <t>Accepted; "You are in"</t>
  </si>
  <si>
    <t>5.02</t>
  </si>
  <si>
    <t>Try punching 2 km away; try with location off; try a gallery photo</t>
  </si>
  <si>
    <t>All three refused with a clear message</t>
  </si>
  <si>
    <t>5.03</t>
  </si>
  <si>
    <t>Punch out after 21:00 (shift ends 19:00)</t>
  </si>
  <si>
    <t>OT counts only after the first hour past shift end</t>
  </si>
  <si>
    <t>My Attendance › month</t>
  </si>
  <si>
    <t>5.04</t>
  </si>
  <si>
    <t>Arrive late after the shift start</t>
  </si>
  <si>
    <t>Late minutes shown on the day</t>
  </si>
  <si>
    <t>5.05</t>
  </si>
  <si>
    <t>Add a missed punch with a reason; void a wrong punch</t>
  </si>
  <si>
    <t>Day rebuilt; reason logged</t>
  </si>
  <si>
    <t>People › Attendance Register</t>
  </si>
  <si>
    <t>5.06</t>
  </si>
  <si>
    <t>php artisan hr:close-attendance for yesterday</t>
  </si>
  <si>
    <t>Absent / weekly off / holiday / leave filled; missing out-punch flagged</t>
  </si>
  <si>
    <t>5.07</t>
  </si>
  <si>
    <t>Leave</t>
  </si>
  <si>
    <t>Apply for leave (full day and half day)</t>
  </si>
  <si>
    <t>Manager gets a bell</t>
  </si>
  <si>
    <t>My Attendance › Leave</t>
  </si>
  <si>
    <t>5.08</t>
  </si>
  <si>
    <t>Approve one, reject one</t>
  </si>
  <si>
    <t>Employee gets a bell; balance updated; unpaid beyond balance</t>
  </si>
  <si>
    <t>People › Leave Requests</t>
  </si>
  <si>
    <t>5.09</t>
  </si>
  <si>
    <t>First punch-in: location notice; then turn GPS off for 15 min</t>
  </si>
  <si>
    <t>Live map shows No signal with the reason</t>
  </si>
  <si>
    <t>5.10</t>
  </si>
  <si>
    <t>Employees › untick "Share live location" for one person</t>
  </si>
  <si>
    <t>Their phone stops sending; map shows Not tracked</t>
  </si>
  <si>
    <t>People › Employees</t>
  </si>
  <si>
    <t>5.11</t>
  </si>
  <si>
    <t>Settings › Pay, OT, Statutory &amp; Live Location: change interval / no-signal minutes; switch tracking off for everyone</t>
  </si>
  <si>
    <t>New values used; off = nobody tracked</t>
  </si>
  <si>
    <t>HR &amp; Payroll masters</t>
  </si>
  <si>
    <t>5.12</t>
  </si>
  <si>
    <t>Staff money</t>
  </si>
  <si>
    <t>Record that the driver handed over customer money</t>
  </si>
  <si>
    <t>Driver's held amount goes down</t>
  </si>
  <si>
    <t>People › Staff Money &amp; Advances</t>
  </si>
  <si>
    <t>5.13</t>
  </si>
  <si>
    <t>Advances</t>
  </si>
  <si>
    <t>Give a salary advance with monthly recovery</t>
  </si>
  <si>
    <t>Recovered on the next payslip</t>
  </si>
  <si>
    <t>Staff Money &amp; Advances</t>
  </si>
  <si>
    <t>5.14</t>
  </si>
  <si>
    <t>Employees</t>
  </si>
  <si>
    <t>Employees: add an employee (designation, branch, shift, weekly off, salary, OT rate, PT/PF/ESI, bank)</t>
  </si>
  <si>
    <t>Saved; only payroll roles see salary fields</t>
  </si>
  <si>
    <t>5.15</t>
  </si>
  <si>
    <t>Put a marketing executive on leave</t>
  </si>
  <si>
    <t>New leads skip them in round-robin</t>
  </si>
  <si>
    <t>6.01</t>
  </si>
  <si>
    <t>Day 5</t>
  </si>
  <si>
    <t>Payroll</t>
  </si>
  <si>
    <t>Payroll › Work out a month</t>
  </si>
  <si>
    <t>Days, OT, off-day pay, PT/PF/ESI, advance recovery, incentives (incl. converted leads) calculated</t>
  </si>
  <si>
    <t>People › Payroll</t>
  </si>
  <si>
    <t>6.02</t>
  </si>
  <si>
    <t>Correct one payslip line with a reason; add a manual incentive</t>
  </si>
  <si>
    <t>Change logged</t>
  </si>
  <si>
    <t>Payroll run</t>
  </si>
  <si>
    <t>6.03</t>
  </si>
  <si>
    <t>Finalise (after the month ends); reopen and finalise again</t>
  </si>
  <si>
    <t>Only the owner can finalise</t>
  </si>
  <si>
    <t>6.04</t>
  </si>
  <si>
    <t>Mark paid; employee downloads the payslip PDF</t>
  </si>
  <si>
    <t>Payslip visible in My Attendance › Payslips</t>
  </si>
  <si>
    <t>Payroll / My Attendance</t>
  </si>
  <si>
    <t>6.05</t>
  </si>
  <si>
    <t>Staff money not handed over by month end</t>
  </si>
  <si>
    <t>Recovered from salary on the payslip</t>
  </si>
  <si>
    <t>6.06</t>
  </si>
  <si>
    <t>Accounts</t>
  </si>
  <si>
    <t>Add an expense (cash, bank, supplier on credit, customer money held by staff)</t>
  </si>
  <si>
    <t>Posted to the books</t>
  </si>
  <si>
    <t>Accounts › Expenses</t>
  </si>
  <si>
    <t>6.07</t>
  </si>
  <si>
    <t>Cash deposited to bank (contra) and a journal voucher</t>
  </si>
  <si>
    <t>Balances move correctly</t>
  </si>
  <si>
    <t>6.08</t>
  </si>
  <si>
    <t>Opening balances (once) and Chart of Accounts / banks</t>
  </si>
  <si>
    <t>Balance sheet balances</t>
  </si>
  <si>
    <t>Accounts masters</t>
  </si>
  <si>
    <t>6.09</t>
  </si>
  <si>
    <t>Reports: P&amp;L, balance sheet, cash &amp; bank book, who owes (customers, suppliers, staff), GST summary</t>
  </si>
  <si>
    <t>Bills, payments, GRNs and payroll from earlier journeys appear</t>
  </si>
  <si>
    <t>Accounts &amp; Reports</t>
  </si>
  <si>
    <t>6.10</t>
  </si>
  <si>
    <t>Supplier dues: pay a supplier for credit GRNs; purchase register</t>
  </si>
  <si>
    <t>Due goes down; register lists the GRNs with GST</t>
  </si>
  <si>
    <t>Parts &amp; Stock › Suppliers</t>
  </si>
  <si>
    <t>6.11</t>
  </si>
  <si>
    <t>Lock last month; try to post into it</t>
  </si>
  <si>
    <t>Posting refused</t>
  </si>
  <si>
    <t>Settings › Chart of Accounts</t>
  </si>
  <si>
    <t>6.12</t>
  </si>
  <si>
    <t>Switch Accounts OFF, record a payment, switch ON, Bring the books up to date</t>
  </si>
  <si>
    <t>The payment is posted after the resync</t>
  </si>
  <si>
    <t>6.13</t>
  </si>
  <si>
    <t>Dashboard</t>
  </si>
  <si>
    <t>Dashboard: jobs in progress, daily collection, billing till date, total outstanding</t>
  </si>
  <si>
    <t>Matches the day's activity</t>
  </si>
  <si>
    <t>6.14</t>
  </si>
  <si>
    <t>Dashboard per branch (branch selector)</t>
  </si>
  <si>
    <t>Figures only for that branch</t>
  </si>
  <si>
    <t>7.01</t>
  </si>
  <si>
    <t>Day 4</t>
  </si>
  <si>
    <t>Open a WhatsApp job link → Open in the Express Autocare app</t>
  </si>
  <si>
    <t>Signed in; that job opens</t>
  </si>
  <si>
    <t>7.02</t>
  </si>
  <si>
    <t>On another phone: mobile number → Get my sign-in code</t>
  </si>
  <si>
    <t>Told to ask the workshop (Interakt off)</t>
  </si>
  <si>
    <t>7.03</t>
  </si>
  <si>
    <t>Customers › the customer › Customer app card: read out the code</t>
  </si>
  <si>
    <t>Code + valid till shown; advisor got a bell</t>
  </si>
  <si>
    <t>Customer page</t>
  </si>
  <si>
    <t>7.04</t>
  </si>
  <si>
    <t>Enter a wrong code, then the right one; reuse the same code; ask for codes 4 times in an hour</t>
  </si>
  <si>
    <t>Wrong and reused codes refused; 4th request asked to wait</t>
  </si>
  <si>
    <t>7.05</t>
  </si>
  <si>
    <t>Unknown number asks for a code</t>
  </si>
  <si>
    <t>Same message as a known number (no number fishing)</t>
  </si>
  <si>
    <t>7.06</t>
  </si>
  <si>
    <t>Home</t>
  </si>
  <si>
    <t>Home: active jobs with approvals / balance / on the way; cars with due dates; credit</t>
  </si>
  <si>
    <t>Correct numbers</t>
  </si>
  <si>
    <t>/app</t>
  </si>
  <si>
    <t>7.07</t>
  </si>
  <si>
    <t>Job</t>
  </si>
  <si>
    <t>Approve / decline items in the app; "Why is this needed?" (assistant on)</t>
  </si>
  <si>
    <t>Advisor sees the answers; explanation appears and is reused</t>
  </si>
  <si>
    <t>7.08</t>
  </si>
  <si>
    <t>Cars</t>
  </si>
  <si>
    <t>Add a car (number, make, model)</t>
  </si>
  <si>
    <t>Appears on Home; a number already registered is refused</t>
  </si>
  <si>
    <t>Customer app › Add a car</t>
  </si>
  <si>
    <t>7.09</t>
  </si>
  <si>
    <t>Service book</t>
  </si>
  <si>
    <t>Service book of a car with past visits; History PDF</t>
  </si>
  <si>
    <t>Visits, observations, due dates; PDF downloads</t>
  </si>
  <si>
    <t>Customer app › Car</t>
  </si>
  <si>
    <t>7.10</t>
  </si>
  <si>
    <t>Booking</t>
  </si>
  <si>
    <t>Book: plan at the car's price, pickup with address, day and slot</t>
  </si>
  <si>
    <t>In CRM › Bookings as Booked online; desk bell</t>
  </si>
  <si>
    <t>Customer app › Book</t>
  </si>
  <si>
    <t>7.11</t>
  </si>
  <si>
    <t>My bookings › Cancel</t>
  </si>
  <si>
    <t>Cancelled in CRM too</t>
  </si>
  <si>
    <t>Customer app › Bookings</t>
  </si>
  <si>
    <t>7.12</t>
  </si>
  <si>
    <t>Visits</t>
  </si>
  <si>
    <t>My visits: every job; open a past one (report, bill, photos)</t>
  </si>
  <si>
    <t>All jobs listed; past job page opens</t>
  </si>
  <si>
    <t>Customer app › Visits</t>
  </si>
  <si>
    <t>7.13</t>
  </si>
  <si>
    <t>Documents</t>
  </si>
  <si>
    <t>Add insurance and PUC with expiry dates (photo); delete one</t>
  </si>
  <si>
    <t>Car's insurance/PUC dates update; visible to staff</t>
  </si>
  <si>
    <t>Customer app › Documents</t>
  </si>
  <si>
    <t>7.14</t>
  </si>
  <si>
    <t>Reminders</t>
  </si>
  <si>
    <t>php artisan customerapp:reminders (car with service due soon, insurance in &lt; 30 days)</t>
  </si>
  <si>
    <t>Inbox reminders, written once</t>
  </si>
  <si>
    <t>7.15</t>
  </si>
  <si>
    <t>Inbox › turn on notifications; move a job to a new stage</t>
  </si>
  <si>
    <t>Phone notification arrives (https needed)</t>
  </si>
  <si>
    <t>7.16</t>
  </si>
  <si>
    <t>Wallet</t>
  </si>
  <si>
    <t>Wallet: credit, referral code, Share my link</t>
  </si>
  <si>
    <t>WhatsApp share opens with the link</t>
  </si>
  <si>
    <t>7.17</t>
  </si>
  <si>
    <t>Ask › What's wrong: a symptom + a warning-light photo; Book a visit</t>
  </si>
  <si>
    <t>Urgency, causes, services with price ranges; booking notes pre-filled</t>
  </si>
  <si>
    <t>7.18</t>
  </si>
  <si>
    <t>Ask about brakes failing / smoke</t>
  </si>
  <si>
    <t>Advises to stop driving and call</t>
  </si>
  <si>
    <t>7.19</t>
  </si>
  <si>
    <t>Settings › AI Assistant: this month's cost, questions, bookings, leads</t>
  </si>
  <si>
    <t>Matches the questions asked</t>
  </si>
  <si>
    <t>7.20</t>
  </si>
  <si>
    <t>Install</t>
  </si>
  <si>
    <t>Install the app (Android Chrome › Install; iPhone Safari › Add to Home Screen)</t>
  </si>
  <si>
    <t>Icon "Express Autocare" opens /app</t>
  </si>
  <si>
    <t>Phone</t>
  </si>
  <si>
    <t>7.21</t>
  </si>
  <si>
    <t>More</t>
  </si>
  <si>
    <t>Sign out</t>
  </si>
  <si>
    <t>Back to sign-in; old session no longer works</t>
  </si>
  <si>
    <t>Customer app › More</t>
  </si>
  <si>
    <t>7b.01</t>
  </si>
  <si>
    <t>Fleet setup</t>
  </si>
  <si>
    <t>Customer (corporate, e.g. Patil Cabs) with 3 cabs → Fleet card › tick Cab fleet</t>
  </si>
  <si>
    <t>Fleet card shows limit (default), drivers, reports</t>
  </si>
  <si>
    <t>Customers › customer › Fleet</t>
  </si>
  <si>
    <t>7b.02</t>
  </si>
  <si>
    <t>Add driver A (cabs 1 and 2) and driver B (cab 3); try the same mobile twice; try another customer's car</t>
  </si>
  <si>
    <t>Both drivers saved; duplicate mobile and other customer's car refused</t>
  </si>
  <si>
    <t>Fleet card › Add driver</t>
  </si>
  <si>
    <t>7b.03</t>
  </si>
  <si>
    <t>Set Driver may approve per job = 3000, Save limit; then clear it</t>
  </si>
  <si>
    <t>Shows ₹3,000 (fleet's own); cleared = default from Settings</t>
  </si>
  <si>
    <t>Fleet card</t>
  </si>
  <si>
    <t>7b.04</t>
  </si>
  <si>
    <t>Driver sign-in</t>
  </si>
  <si>
    <t>Customer app: driver A's mobile → Get my sign-in code</t>
  </si>
  <si>
    <t>Fleet's Customer app card shows the code "driver A"; advisor bell</t>
  </si>
  <si>
    <t>/app/login; Customer page</t>
  </si>
  <si>
    <t>7b.05</t>
  </si>
  <si>
    <t>Sign in as driver A</t>
  </si>
  <si>
    <t>Home: "Driver for Patil Cabs"; only cabs 1 and 2; no Wallet, no Add a car</t>
  </si>
  <si>
    <t>Customer app › Home</t>
  </si>
  <si>
    <t>7b.06</t>
  </si>
  <si>
    <t>Driver whose number is also an ordinary customer: enter the code</t>
  </si>
  <si>
    <t>Asked "Sign in as": My own cars / Driver for Patil Cabs; each opens the right account</t>
  </si>
  <si>
    <t>7b.07</t>
  </si>
  <si>
    <t>Open a cab-3 job or car page by changing the address</t>
  </si>
  <si>
    <t>Not found (driver sees only own cabs)</t>
  </si>
  <si>
    <t>7b.08</t>
  </si>
  <si>
    <t>Job card for cab 1: Driver who brought the cab (driver A pre-chosen)</t>
  </si>
  <si>
    <t>Job card shows the driver; driver gets stage notes in the app</t>
  </si>
  <si>
    <t>Job card form / detail</t>
  </si>
  <si>
    <t>7b.09</t>
  </si>
  <si>
    <t>Approvals</t>
  </si>
  <si>
    <t>Estimate with extra lines ₹1,200 + ₹700 + ₹1,500 (limit ₹2,000): driver approves all three</t>
  </si>
  <si>
    <t>₹1,900 approved "By driver A"; ₹1,500 stays pending; message says it went to the owner</t>
  </si>
  <si>
    <t>7b.10</t>
  </si>
  <si>
    <t>Owner gets the app note + WhatsApp "driver asks you to approve"; advisor gets a bell</t>
  </si>
  <si>
    <t>Note in the owner's app inbox; message in Messages to Send (or sent with Interakt)</t>
  </si>
  <si>
    <t>Owner app; Messages to Send</t>
  </si>
  <si>
    <t>7b.11</t>
  </si>
  <si>
    <t>Driver declines the ₹1,200 line, then approves the ₹1,500</t>
  </si>
  <si>
    <t>Limit freed by the decline but ₹1,500 still above ₹1,300 left → still with the owner</t>
  </si>
  <si>
    <t>7b.12</t>
  </si>
  <si>
    <t>Owner approves the ₹1,500 line on their own link; driver then tries to decline it</t>
  </si>
  <si>
    <t>Owner approval has no limit; driver's buttons off for it ("Decided by the fleet owner")</t>
  </si>
  <si>
    <t>Owner link / driver app</t>
  </si>
  <si>
    <t>7b.13</t>
  </si>
  <si>
    <t>Driver opens the WhatsApp job link sent to them (not the app)</t>
  </si>
  <si>
    <t>Signs in as the driver; same limit applies</t>
  </si>
  <si>
    <t>Driver link</t>
  </si>
  <si>
    <t>7b.14</t>
  </si>
  <si>
    <t>Estimate editor decision log</t>
  </si>
  <si>
    <t>Driver decisions shown "By driver A"</t>
  </si>
  <si>
    <t>7b.15</t>
  </si>
  <si>
    <t>Report a problem: Breakdown, details, 2 photos, km, Use my location</t>
  </si>
  <si>
    <t>Sent; advisor/manager bell "BREAKDOWN"; owner app note</t>
  </si>
  <si>
    <t>Customer app › Report a problem</t>
  </si>
  <si>
    <t>7b.16</t>
  </si>
  <si>
    <t>Customers › Fleet Reports: open the breakdown (photos, km, map link, call driver) → Book in with Pickup</t>
  </si>
  <si>
    <t>Booking made (and pickup trip when confirmed); driver and owner told</t>
  </si>
  <si>
    <t>Fleet Reports</t>
  </si>
  <si>
    <t>7b.17</t>
  </si>
  <si>
    <t>Another report → Open job card; another → Close with a note</t>
  </si>
  <si>
    <t>Job card form pre-filled (fleet, cab, driver); the report moves to "At the workshop"; closed shows the note to the driver</t>
  </si>
  <si>
    <t>7b.18</t>
  </si>
  <si>
    <t>Km</t>
  </si>
  <si>
    <t>Log km for cab 1 (with a dashboard photo); then a much lower number</t>
  </si>
  <si>
    <t>Saved; lower reading refused</t>
  </si>
  <si>
    <t>Customer app › Cab › Log km</t>
  </si>
  <si>
    <t>7b.19</t>
  </si>
  <si>
    <t>Cab within 500 km of its next service km → php artisan fleet:daily (twice)</t>
  </si>
  <si>
    <t>Owner and the cab's drivers get "Service due" once</t>
  </si>
  <si>
    <t>Command window; app inbox</t>
  </si>
  <si>
    <t>7b.20</t>
  </si>
  <si>
    <t>Fleet dashboard: at workshop, approvals waiting, to pay, spend month/year; filters</t>
  </si>
  <si>
    <t>Matches the jobs; per-cab state, km, service due</t>
  </si>
  <si>
    <t>Customer app › Fleet dashboard</t>
  </si>
  <si>
    <t>7b.21</t>
  </si>
  <si>
    <t>Drivers</t>
  </si>
  <si>
    <t>Drivers screen: add a driver, change cabs, Sign out of all phones, Switch off</t>
  </si>
  <si>
    <t>Switched-off driver is signed out and cannot sign in</t>
  </si>
  <si>
    <t>Customer app › Drivers</t>
  </si>
  <si>
    <t>7b.22</t>
  </si>
  <si>
    <t>Cab ready</t>
  </si>
  <si>
    <t>Fleet job reaches Ready for delivery</t>
  </si>
  <si>
    <t>WhatsApp "cab ready" message to the driver (their own link)</t>
  </si>
  <si>
    <t>Messages to Send</t>
  </si>
  <si>
    <t>7b.23</t>
  </si>
  <si>
    <t>Fleet job bill and gate pass</t>
  </si>
  <si>
    <t>Same rules as any customer (pay before gate pass)</t>
  </si>
  <si>
    <t>7b.24</t>
  </si>
  <si>
    <t>Switch</t>
  </si>
  <si>
    <t>Settings › Modules: Fleet cabs &amp; drivers OFF</t>
  </si>
  <si>
    <t>Drivers signed out and cannot sign in; Fleet Reports gone; fleet customers work as ordinary customers; switch back ON</t>
  </si>
  <si>
    <t>8.01</t>
  </si>
  <si>
    <t>Masters</t>
  </si>
  <si>
    <t>Settings page: search a master by name; open from the Masters menu</t>
  </si>
  <si>
    <t>Every master found; deep links open the right tab</t>
  </si>
  <si>
    <t>8.02</t>
  </si>
  <si>
    <t>Price Masters: change a plan price for one car type; Save changes bar (and Discard)</t>
  </si>
  <si>
    <t>New estimates and the customer app use the new price; nothing auto-saves</t>
  </si>
  <si>
    <t>Settings › Price Masters</t>
  </si>
  <si>
    <t>8.03</t>
  </si>
  <si>
    <t>Service plans: create, edit, deactivate a plan (never delete); plan items and oil litres</t>
  </si>
  <si>
    <t>Deactivated plan not offered; old jobs keep it</t>
  </si>
  <si>
    <t>8.04</t>
  </si>
  <si>
    <t>Labour charges master: change a rate</t>
  </si>
  <si>
    <t>Used on the next estimate line</t>
  </si>
  <si>
    <t>8.05</t>
  </si>
  <si>
    <t>Car classes &amp; models: add a model with its car type</t>
  </si>
  <si>
    <t>Available on vehicles and in the customer app</t>
  </si>
  <si>
    <t>8.06</t>
  </si>
  <si>
    <t>Job Sheet Masters: activity media type (photo / video / both), N/A allowed</t>
  </si>
  <si>
    <t>Job sheets follow it</t>
  </si>
  <si>
    <t>Settings › Job Sheet Masters</t>
  </si>
  <si>
    <t>8.07</t>
  </si>
  <si>
    <t>Job stages: set one stage to manual; edit its WhatsApp message; tick "notify customer"</t>
  </si>
  <si>
    <t>Stage waits for a manual move; message text used; app inbox notified</t>
  </si>
  <si>
    <t>Settings › Job Stages</t>
  </si>
  <si>
    <t>8.08</t>
  </si>
  <si>
    <t>General Repairs master: minimum photos / videos per issue line</t>
  </si>
  <si>
    <t>Enforced on Additional Issues</t>
  </si>
  <si>
    <t>8.09</t>
  </si>
  <si>
    <t>Observation remarks; parts margin %</t>
  </si>
  <si>
    <t>Used on observations and parts prices</t>
  </si>
  <si>
    <t>8.10</t>
  </si>
  <si>
    <t>Pickup, Drop &amp; Home Service: charges, policy text, minimum photos</t>
  </si>
  <si>
    <t>Used on trips and bills</t>
  </si>
  <si>
    <t>8.11</t>
  </si>
  <si>
    <t>Stock items &amp; plan kits (Purchases on): consumables, kit per plan</t>
  </si>
  <si>
    <t>Kit used when the plan job runs; stock goes down</t>
  </si>
  <si>
    <t>Settings › Stock Items &amp; Plan Kits</t>
  </si>
  <si>
    <t>8.12</t>
  </si>
  <si>
    <t>HR masters: shifts, holidays, leave types, incentive rules, statutory slabs</t>
  </si>
  <si>
    <t>Used in attendance and payroll</t>
  </si>
  <si>
    <t>Settings › HR &amp; Payroll</t>
  </si>
  <si>
    <t>8.13</t>
  </si>
  <si>
    <t>CRM rules: call-back SLA, sending hours, referral reward, message texts, booking slots, lost reasons</t>
  </si>
  <si>
    <t>CRM follows them</t>
  </si>
  <si>
    <t>8.14</t>
  </si>
  <si>
    <t>Switch CRM, Attendance &amp; payroll, Accounts, Customer app off one at a time</t>
  </si>
  <si>
    <t>Their menus and screens close; the rest keeps working; links still open</t>
  </si>
  <si>
    <t>8.15</t>
  </si>
  <si>
    <t>WhatsApp</t>
  </si>
  <si>
    <t>WhatsApp &amp; Interakt › Templates: open a message, Copy the text for Interakt</t>
  </si>
  <si>
    <t>Text has {{1}}, {{2}} in the listed order</t>
  </si>
  <si>
    <t>8.16</t>
  </si>
  <si>
    <t>App address</t>
  </si>
  <si>
    <t>Change the public address; check a new job link and the staff-app QR</t>
  </si>
  <si>
    <t>Links use the new address</t>
  </si>
  <si>
    <t>8.17</t>
  </si>
  <si>
    <t>Staff app › Settings › Change server address</t>
  </si>
  <si>
    <t>Setup screen opens; reconnects</t>
  </si>
  <si>
    <t>8.18</t>
  </si>
  <si>
    <t>Users</t>
  </si>
  <si>
    <t>Create a user with a phone-only login; reset a password; deactivate</t>
  </si>
  <si>
    <t>Phone login works; deactivated user cannot sign in</t>
  </si>
  <si>
    <t>8.19</t>
  </si>
  <si>
    <t>Roles</t>
  </si>
  <si>
    <t>Roles &amp; Access: remove one permission from a role (e.g. crm.whatsapp.inbox from Service advisor)</t>
  </si>
  <si>
    <t>That menu / button disappears for that role</t>
  </si>
  <si>
    <t>Settings › Roles</t>
  </si>
  <si>
    <t>9.01</t>
  </si>
  <si>
    <t>Day 6</t>
  </si>
  <si>
    <t>Everything visible; Settings › Modules, App Address, WhatsApp &amp; Interakt, AI only for the owner</t>
  </si>
  <si>
    <t>Nothing missing</t>
  </si>
  <si>
    <t>Menu</t>
  </si>
  <si>
    <t>9.02</t>
  </si>
  <si>
    <t>All branches' operations, approvals, QC, attendance, Live Staff Map, WhatsApp Inbox (All), Fleet Reports</t>
  </si>
  <si>
    <t>No owner-only settings</t>
  </si>
  <si>
    <t>9.03</t>
  </si>
  <si>
    <t>Bookings, job cards, estimates, parts review, delivery, customer codes, WhatsApp Inbox (their chats), Fleet Reports</t>
  </si>
  <si>
    <t>No payroll, no accounts settings</t>
  </si>
  <si>
    <t>9.04</t>
  </si>
  <si>
    <t>My Jobs and job sheets only; no prices anywhere</t>
  </si>
  <si>
    <t>Cannot see estimates, bills or the WhatsApp inbox</t>
  </si>
  <si>
    <t>9.05</t>
  </si>
  <si>
    <t>My Trips, My Attendance</t>
  </si>
  <si>
    <t>Nothing else</t>
  </si>
  <si>
    <t>9.06</t>
  </si>
  <si>
    <t>Parts Desk, GRN, stock, supplier dues</t>
  </si>
  <si>
    <t>No customer prices editing beyond parts</t>
  </si>
  <si>
    <t>9.07</t>
  </si>
  <si>
    <t>Billing, payments, UPI confirmations, accounts, payroll preparation</t>
  </si>
  <si>
    <t>Cannot finalise payroll</t>
  </si>
  <si>
    <t>9.08</t>
  </si>
  <si>
    <t>Leads, follow-ups, messages, bookings, WhatsApp Inbox (their chats)</t>
  </si>
  <si>
    <t>No workshop screens</t>
  </si>
  <si>
    <t>9.09</t>
  </si>
  <si>
    <t>Body-shop work as the mechanical equivalents; managers and advisors get WhatsApp Inbox and Fleet Reports</t>
  </si>
  <si>
    <t>Correct menus</t>
  </si>
  <si>
    <t>9.10</t>
  </si>
  <si>
    <t>Common</t>
  </si>
  <si>
    <t>My Day, global search (Ctrl + K / magnifier), bell, branch selector, phone bottom bar, install as app</t>
  </si>
  <si>
    <t>Work for every role</t>
  </si>
  <si>
    <t>10.01</t>
  </si>
  <si>
    <t>Take more money than the bill</t>
  </si>
  <si>
    <t>"Refund due"; refund it or keep it as customer credit before the gate pass</t>
  </si>
  <si>
    <t>10.02</t>
  </si>
  <si>
    <t>Pay a later job with the credit</t>
  </si>
  <si>
    <t>Payment method Customer credit; balance falls</t>
  </si>
  <si>
    <t>10.03</t>
  </si>
  <si>
    <t>Gate pass before full payment</t>
  </si>
  <si>
    <t>Needs owner/manager and a reason</t>
  </si>
  <si>
    <t>10.04</t>
  </si>
  <si>
    <t>Change the plan after sending the estimate</t>
  </si>
  <si>
    <t>Plan/oil locked on the job card; changed on the estimate</t>
  </si>
  <si>
    <t>10.05</t>
  </si>
  <si>
    <t>Move a job stage by hand</t>
  </si>
  <si>
    <t>Needs a reason; logged</t>
  </si>
  <si>
    <t>10.06</t>
  </si>
  <si>
    <t>Cancel a job card</t>
  </si>
  <si>
    <t>No bill or payments allowed afterwards</t>
  </si>
  <si>
    <t>10.07</t>
  </si>
  <si>
    <t>Try to approve after work has moved past approval (e.g. Final QC)</t>
  </si>
  <si>
    <t>"Approvals are closed" message</t>
  </si>
  <si>
    <t>10.08</t>
  </si>
  <si>
    <t>Links</t>
  </si>
  <si>
    <t>Open an expired / revoked job link</t>
  </si>
  <si>
    <t>"Link not available" message</t>
  </si>
  <si>
    <t>10.09</t>
  </si>
  <si>
    <t>UPI</t>
  </si>
  <si>
    <t>Send the same UTR twice; send more than the balance</t>
  </si>
  <si>
    <t>Both refused</t>
  </si>
  <si>
    <t>Customer app › Pay</t>
  </si>
  <si>
    <t>10.10</t>
  </si>
  <si>
    <t>Reject a UPI request with a reason</t>
  </si>
  <si>
    <t>Customer sees the reason and "Not found"</t>
  </si>
  <si>
    <t>UPI Payments to Confirm</t>
  </si>
  <si>
    <t>10.11</t>
  </si>
  <si>
    <t>Interakt key wrong / Interakt down: send a mapped message</t>
  </si>
  <si>
    <t>Stays in Messages to Send with the reason; nothing lost</t>
  </si>
  <si>
    <t>10.12</t>
  </si>
  <si>
    <t>WhatsApp number not on WhatsApp (Interakt reports failed)</t>
  </si>
  <si>
    <t>Message goes back to Messages to Send with "not delivered"; ⚠ in the chat</t>
  </si>
  <si>
    <t>Messages to Send / Inbox</t>
  </si>
  <si>
    <t>10.13</t>
  </si>
  <si>
    <t>Offline</t>
  </si>
  <si>
    <t>Turn mobile data off for 10 min while punched in, then on</t>
  </si>
  <si>
    <t>Positions queued and sent later; route has no hole</t>
  </si>
  <si>
    <t>10.14</t>
  </si>
  <si>
    <t>Double tap</t>
  </si>
  <si>
    <t>Double-tap Save / Punch / Pay / Send buttons</t>
  </si>
  <si>
    <t>Only one record created</t>
  </si>
  <si>
    <t>Any screen</t>
  </si>
  <si>
    <t>10.15</t>
  </si>
  <si>
    <t>Validation</t>
  </si>
  <si>
    <t>Save forms with missing required fields</t>
  </si>
  <si>
    <t>Clear messages; nothing half-saved</t>
  </si>
  <si>
    <t>Any form</t>
  </si>
  <si>
    <t>10.16</t>
  </si>
  <si>
    <t>Ask more than the daily limit</t>
  </si>
  <si>
    <t>"You've asked … times today" message</t>
  </si>
  <si>
    <t>10.17</t>
  </si>
  <si>
    <t>Permissions</t>
  </si>
  <si>
    <t>Type an owner-only address in the browser (e.g. /settings/modules, /crm/whatsapp)</t>
  </si>
  <si>
    <t>Not allowed page; nothing shown</t>
  </si>
  <si>
    <t>Browser</t>
  </si>
  <si>
    <t>10.18</t>
  </si>
  <si>
    <t>Use the system on a small phone and on a desktop</t>
  </si>
  <si>
    <t>No cut-off buttons or text</t>
  </si>
  <si>
    <t>All screens</t>
  </si>
  <si>
    <t>11.01</t>
  </si>
  <si>
    <t>EA Workshop app: first launch asks the server address; QR from Settings › App Address</t>
  </si>
  <si>
    <t>Connects and signs in</t>
  </si>
  <si>
    <t>Staff APK</t>
  </si>
  <si>
    <t>11.02</t>
  </si>
  <si>
    <t>Background location with the screen locked for 30 min; battery set to Unrestricted</t>
  </si>
  <si>
    <t>Route continuous on the Live Staff Map</t>
  </si>
  <si>
    <t>11.03</t>
  </si>
  <si>
    <t>Camera for punch selfie and job-sheet photos/videos inside the app</t>
  </si>
  <si>
    <t>Camera opens; uploads succeed</t>
  </si>
  <si>
    <t>11.04</t>
  </si>
  <si>
    <t>Express Autocare Android app (customer APK): sign in, open a job, pay by UPI (opens the UPI app)</t>
  </si>
  <si>
    <t>Works like the web app</t>
  </si>
  <si>
    <t>Customer APK</t>
  </si>
  <si>
    <t>11.05</t>
  </si>
  <si>
    <t>Customer APK as a fleet driver: Report a problem › Use my location; camera for photos</t>
  </si>
  <si>
    <t>Location permission asked once; location and photos attached</t>
  </si>
  <si>
    <t>11.06</t>
  </si>
  <si>
    <t>iPhone: Safari › Add to Home Screen; open, sign in</t>
  </si>
  <si>
    <t>Works (foreground only for location)</t>
  </si>
  <si>
    <t>iPhone</t>
  </si>
  <si>
    <t>11.07</t>
  </si>
  <si>
    <t>PWA</t>
  </si>
  <si>
    <t>Install the staff web app on a phone (Add to Home screen)</t>
  </si>
  <si>
    <t>Opens full screen; bottom bar + More</t>
  </si>
  <si>
    <t>Phone browser</t>
  </si>
  <si>
    <t>Date</t>
  </si>
  <si>
    <t>Checklist ID</t>
  </si>
  <si>
    <t>Screen</t>
  </si>
  <si>
    <t>Role</t>
  </si>
  <si>
    <t>What I did</t>
  </si>
  <si>
    <t>What I expected</t>
  </si>
  <si>
    <t>What happened</t>
  </si>
  <si>
    <t>Screenshot file</t>
  </si>
  <si>
    <t>Fixed in</t>
  </si>
  <si>
    <t>I-000 (example)</t>
  </si>
  <si>
    <t>19-Oct</t>
  </si>
  <si>
    <t>Clicked Make bill after final QC</t>
  </si>
  <si>
    <t>Proforma created</t>
  </si>
  <si>
    <t>Error "Send the estimate first" although it was sent</t>
  </si>
  <si>
    <t>IMG_2041.jpg</t>
  </si>
  <si>
    <t>Must fix</t>
  </si>
  <si>
    <t>Open</t>
  </si>
  <si>
    <t>I-001</t>
  </si>
  <si>
    <t>I-002</t>
  </si>
  <si>
    <t>I-003</t>
  </si>
  <si>
    <t>I-004</t>
  </si>
  <si>
    <t>I-005</t>
  </si>
  <si>
    <t>I-006</t>
  </si>
  <si>
    <t>I-007</t>
  </si>
  <si>
    <t>I-008</t>
  </si>
  <si>
    <t>I-009</t>
  </si>
  <si>
    <t>I-010</t>
  </si>
  <si>
    <t>I-011</t>
  </si>
  <si>
    <t>I-012</t>
  </si>
  <si>
    <t>I-013</t>
  </si>
  <si>
    <t>I-014</t>
  </si>
  <si>
    <t>I-015</t>
  </si>
  <si>
    <t>I-016</t>
  </si>
  <si>
    <t>I-017</t>
  </si>
  <si>
    <t>I-018</t>
  </si>
  <si>
    <t>I-019</t>
  </si>
  <si>
    <t>I-020</t>
  </si>
  <si>
    <t>I-021</t>
  </si>
  <si>
    <t>I-022</t>
  </si>
  <si>
    <t>I-023</t>
  </si>
  <si>
    <t>I-024</t>
  </si>
  <si>
    <t>I-025</t>
  </si>
  <si>
    <t>I-026</t>
  </si>
  <si>
    <t>I-027</t>
  </si>
  <si>
    <t>I-028</t>
  </si>
  <si>
    <t>I-029</t>
  </si>
  <si>
    <t>I-030</t>
  </si>
  <si>
    <t>I-031</t>
  </si>
  <si>
    <t>I-032</t>
  </si>
  <si>
    <t>I-033</t>
  </si>
  <si>
    <t>I-034</t>
  </si>
  <si>
    <t>I-035</t>
  </si>
  <si>
    <t>I-036</t>
  </si>
  <si>
    <t>I-037</t>
  </si>
  <si>
    <t>I-038</t>
  </si>
  <si>
    <t>I-039</t>
  </si>
  <si>
    <t>I-040</t>
  </si>
  <si>
    <t>I-041</t>
  </si>
  <si>
    <t>I-042</t>
  </si>
  <si>
    <t>I-043</t>
  </si>
  <si>
    <t>I-044</t>
  </si>
  <si>
    <t>I-045</t>
  </si>
  <si>
    <t>I-046</t>
  </si>
  <si>
    <t>I-047</t>
  </si>
  <si>
    <t>I-048</t>
  </si>
  <si>
    <t>I-049</t>
  </si>
  <si>
    <t>I-050</t>
  </si>
  <si>
    <t>I-051</t>
  </si>
  <si>
    <t>I-052</t>
  </si>
  <si>
    <t>I-053</t>
  </si>
  <si>
    <t>I-054</t>
  </si>
  <si>
    <t>I-055</t>
  </si>
  <si>
    <t>I-056</t>
  </si>
  <si>
    <t>I-057</t>
  </si>
  <si>
    <t>I-058</t>
  </si>
  <si>
    <t>I-059</t>
  </si>
  <si>
    <t>I-060</t>
  </si>
  <si>
    <t>I-061</t>
  </si>
  <si>
    <t>I-062</t>
  </si>
  <si>
    <t>I-063</t>
  </si>
  <si>
    <t>I-064</t>
  </si>
  <si>
    <t>I-065</t>
  </si>
  <si>
    <t>I-066</t>
  </si>
  <si>
    <t>I-067</t>
  </si>
  <si>
    <t>I-068</t>
  </si>
  <si>
    <t>I-069</t>
  </si>
  <si>
    <t>I-070</t>
  </si>
  <si>
    <t>I-071</t>
  </si>
  <si>
    <t>I-072</t>
  </si>
  <si>
    <t>I-073</t>
  </si>
  <si>
    <t>I-074</t>
  </si>
  <si>
    <t>I-075</t>
  </si>
  <si>
    <t>I-076</t>
  </si>
  <si>
    <t>I-077</t>
  </si>
  <si>
    <t>I-078</t>
  </si>
  <si>
    <t>I-079</t>
  </si>
  <si>
    <t>I-080</t>
  </si>
  <si>
    <t>I-081</t>
  </si>
  <si>
    <t>I-082</t>
  </si>
  <si>
    <t>I-083</t>
  </si>
  <si>
    <t>I-084</t>
  </si>
  <si>
    <t>I-085</t>
  </si>
  <si>
    <t>I-086</t>
  </si>
  <si>
    <t>I-087</t>
  </si>
  <si>
    <t>I-088</t>
  </si>
  <si>
    <t>I-089</t>
  </si>
  <si>
    <t>I-090</t>
  </si>
  <si>
    <t>I-091</t>
  </si>
  <si>
    <t>I-092</t>
  </si>
  <si>
    <t>I-093</t>
  </si>
  <si>
    <t>I-094</t>
  </si>
  <si>
    <t>I-095</t>
  </si>
  <si>
    <t>I-096</t>
  </si>
  <si>
    <t>I-097</t>
  </si>
  <si>
    <t>I-098</t>
  </si>
  <si>
    <t>I-099</t>
  </si>
  <si>
    <t>I-100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</si>
  <si>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</si>
  <si>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</si>
  <si>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</si>
  <si>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</si>
  <si>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</si>
  <si>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</si>
  <si>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</si>
  <si>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</si>
  <si>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I-109</t>
  </si>
  <si>
    <t>I-110</t>
  </si>
  <si>
    <t>I-111</t>
  </si>
  <si>
    <t>I-112</t>
  </si>
  <si>
    <t>I-113</t>
  </si>
  <si>
    <t>I-114</t>
  </si>
  <si>
    <t>I-115</t>
  </si>
  <si>
    <t>I-116</t>
  </si>
  <si>
    <t>I-117</t>
  </si>
  <si>
    <t>I-118</t>
  </si>
  <si>
    <t>I-119</t>
  </si>
  <si>
    <t>I-120</t>
  </si>
  <si>
    <t>I-121</t>
  </si>
  <si>
    <t>I-122</t>
  </si>
  <si>
    <t>I-123</t>
  </si>
  <si>
    <t>I-124</t>
  </si>
  <si>
    <t>I-125</t>
  </si>
  <si>
    <t>I-126</t>
  </si>
  <si>
    <t>I-127</t>
  </si>
  <si>
    <t>I-128</t>
  </si>
  <si>
    <t>I-129</t>
  </si>
  <si>
    <t>I-130</t>
  </si>
  <si>
    <t>I-131</t>
  </si>
  <si>
    <t>I-132</t>
  </si>
  <si>
    <t>I-133</t>
  </si>
  <si>
    <t>I-134</t>
  </si>
  <si>
    <t>I-135</t>
  </si>
  <si>
    <t>I-136</t>
  </si>
  <si>
    <t>I-137</t>
  </si>
  <si>
    <t>I-138</t>
  </si>
  <si>
    <t>I-139</t>
  </si>
  <si>
    <t>I-140</t>
  </si>
  <si>
    <t>I-141</t>
  </si>
  <si>
    <t>I-142</t>
  </si>
  <si>
    <t>I-143</t>
  </si>
  <si>
    <t>I-144</t>
  </si>
  <si>
    <t>I-145</t>
  </si>
  <si>
    <t>I-146</t>
  </si>
  <si>
    <t>I-147</t>
  </si>
  <si>
    <t>I-148</t>
  </si>
  <si>
    <t>I-149</t>
  </si>
  <si>
    <t>I-150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</si>
</sst>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C4161C"/>
      <name val="Arial"/>
    </font>
    <font>
      <i/>
      <sz val="9"/>
      <color rgb="FF6B7280"/>
      <name val="Arial"/>
    </font>
    <font>
      <b/>
      <sz val="11"/>
      <color rgb="FFC4161C"/>
      <name val="Arial"/>
    </font>
    <font>
      <b/>
      <sz val="10"/>
      <color rgb="FFC4161C"/>
      <name val="Arial"/>
    </font>
    <font>
      <b/>
      <sz val="16"/>
      <color rgb="FFC4161C"/>
      <name val="Arial"/>
    </font>
    <font>
      <i/>
      <sz val="10"/>
      <color rgb="FF6B7280"/>
      <name val="Arial"/>
    </font>
  </fonts>
  <fills count="9">
    <fill>
      <patternFill patternType="none"/>
    </fill>
    <fill>
      <patternFill patternType="gray125"/>
    </fill>
    <fill>
      <patternFill patternType="solid">
        <fgColor rgb="FFC4161C"/>
      </patternFill>
    </fill>
    <fill>
      <patternFill patternType="solid">
        <fgColor rgb="FFFFF9C4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2" fillId="3" borderId="1" xfId="0" applyFont="1" applyFill="1" applyBorder="1"/>
    <xf numFmtId="0" fontId="3" fillId="0" borderId="0" xfId="0" applyFont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9" fontId="2" fillId="4" borderId="1" xfId="0" applyNumberFormat="1" applyFont="1" applyFill="1" applyBorder="1" applyAlignment="1">
      <alignment horizontal="center" vertical="top"/>
    </xf>
    <xf numFmtId="0" fontId="2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5">
    <dxf>
      <font>
        <b/>
        <sz val="10"/>
        <color rgb="FFC4161C"/>
        <name val="Arial"/>
      </font>
    </dxf>
    <dxf>
      <fill>
        <patternFill patternType="solid">
          <fgColor rgb="FFE5E7EB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5"/>
  <sheetViews>
    <sheetView showGridLines="0" tabSelected="1" workbookViewId="0">
      <selection activeCell="B5" sqref="B5"/>
    </sheetView>
  </sheetViews>
  <sheetFormatPr defaultRowHeight="14.5" x14ac:dyDescent="0.35"/>
  <cols>
    <col min="1" max="1" width="2" customWidth="1"/>
    <col min="2" max="2" width="24" customWidth="1"/>
    <col min="3" max="3" width="110" customWidth="1"/>
  </cols>
  <sheetData>
    <row r="2" spans="2:3" ht="20" x14ac:dyDescent="0.4">
      <c r="B2" s="1" t="s">
        <v>0</v>
      </c>
    </row>
    <row r="3" spans="2:3" ht="42" customHeight="1" x14ac:dyDescent="0.35">
      <c r="B3" s="31" t="s">
        <v>1</v>
      </c>
      <c r="C3" s="32"/>
    </row>
    <row r="5" spans="2:3" ht="30" customHeight="1" x14ac:dyDescent="0.35">
      <c r="B5" s="3" t="s">
        <v>2</v>
      </c>
      <c r="C5" s="2" t="s">
        <v>3</v>
      </c>
    </row>
    <row r="6" spans="2:3" ht="30" customHeight="1" x14ac:dyDescent="0.35">
      <c r="B6" s="3" t="s">
        <v>4</v>
      </c>
      <c r="C6" s="2" t="s">
        <v>5</v>
      </c>
    </row>
    <row r="7" spans="2:3" ht="30" customHeight="1" x14ac:dyDescent="0.35">
      <c r="B7" s="3" t="s">
        <v>6</v>
      </c>
      <c r="C7" s="2" t="s">
        <v>7</v>
      </c>
    </row>
    <row r="8" spans="2:3" ht="16" customHeight="1" x14ac:dyDescent="0.35">
      <c r="B8" s="3" t="s">
        <v>8</v>
      </c>
      <c r="C8" s="2" t="s">
        <v>9</v>
      </c>
    </row>
    <row r="9" spans="2:3" ht="30" customHeight="1" x14ac:dyDescent="0.35">
      <c r="B9" s="3" t="s">
        <v>10</v>
      </c>
      <c r="C9" s="2" t="s">
        <v>11</v>
      </c>
    </row>
    <row r="10" spans="2:3" ht="30" customHeight="1" x14ac:dyDescent="0.35">
      <c r="B10" s="3" t="s">
        <v>12</v>
      </c>
      <c r="C10" s="2" t="s">
        <v>13</v>
      </c>
    </row>
    <row r="11" spans="2:3" ht="16" customHeight="1" x14ac:dyDescent="0.35">
      <c r="B11" s="3" t="s">
        <v>14</v>
      </c>
      <c r="C11" s="2" t="s">
        <v>15</v>
      </c>
    </row>
    <row r="12" spans="2:3" ht="30" customHeight="1" x14ac:dyDescent="0.35">
      <c r="B12" s="3" t="s">
        <v>16</v>
      </c>
      <c r="C12" s="2" t="s">
        <v>17</v>
      </c>
    </row>
    <row r="13" spans="2:3" ht="30" customHeight="1" x14ac:dyDescent="0.35">
      <c r="B13" s="3" t="s">
        <v>18</v>
      </c>
      <c r="C13" s="2" t="s">
        <v>19</v>
      </c>
    </row>
    <row r="14" spans="2:3" ht="30" customHeight="1" x14ac:dyDescent="0.35">
      <c r="B14" s="3" t="s">
        <v>20</v>
      </c>
      <c r="C14" s="2" t="s">
        <v>21</v>
      </c>
    </row>
    <row r="15" spans="2:3" ht="30" customHeight="1" x14ac:dyDescent="0.35">
      <c r="B15" s="3" t="s">
        <v>22</v>
      </c>
      <c r="C15" s="2" t="s">
        <v>23</v>
      </c>
    </row>
    <row r="16" spans="2:3" ht="30" customHeight="1" x14ac:dyDescent="0.35">
      <c r="B16" s="3" t="s">
        <v>24</v>
      </c>
      <c r="C16" s="2" t="s">
        <v>25</v>
      </c>
    </row>
    <row r="18" spans="2:3" x14ac:dyDescent="0.35">
      <c r="B18" s="4" t="s">
        <v>26</v>
      </c>
    </row>
    <row r="19" spans="2:3" x14ac:dyDescent="0.35">
      <c r="B19" s="5" t="s">
        <v>27</v>
      </c>
      <c r="C19" s="6" t="s">
        <v>28</v>
      </c>
    </row>
    <row r="20" spans="2:3" x14ac:dyDescent="0.35">
      <c r="B20" s="7" t="s">
        <v>29</v>
      </c>
      <c r="C20" s="6" t="s">
        <v>30</v>
      </c>
    </row>
    <row r="21" spans="2:3" x14ac:dyDescent="0.35">
      <c r="B21" s="8" t="s">
        <v>31</v>
      </c>
      <c r="C21" s="6" t="s">
        <v>32</v>
      </c>
    </row>
    <row r="22" spans="2:3" x14ac:dyDescent="0.35">
      <c r="B22" s="9" t="s">
        <v>33</v>
      </c>
      <c r="C22" s="6" t="s">
        <v>34</v>
      </c>
    </row>
    <row r="23" spans="2:3" x14ac:dyDescent="0.35">
      <c r="B23" s="10" t="s">
        <v>35</v>
      </c>
      <c r="C23" s="6" t="s">
        <v>36</v>
      </c>
    </row>
    <row r="25" spans="2:3" x14ac:dyDescent="0.35">
      <c r="B25" s="4" t="s">
        <v>37</v>
      </c>
      <c r="C25" s="6" t="s">
        <v>38</v>
      </c>
    </row>
  </sheetData>
  <mergeCells count="1">
    <mergeCell ref="B3:C3"/>
  </mergeCells>
  <pageMargins left="0.75" right="0.75" top="1" bottom="1" header="0.5" footer="0.5"/>
  <pageSetup paperSize="9" scale="95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2" customWidth="1"/>
    <col min="2" max="4" width="9" customWidth="1"/>
    <col min="5" max="5" width="10" customWidth="1"/>
    <col min="6" max="6" width="9" customWidth="1"/>
    <col min="7" max="7" width="11" customWidth="1"/>
    <col min="8" max="8" width="10" customWidth="1"/>
  </cols>
  <sheetData>
    <row r="1" spans="1:8" ht="18" x14ac:dyDescent="0.4">
      <c r="A1" s="11" t="s">
        <v>39</v>
      </c>
    </row>
    <row r="2" spans="1:8" x14ac:dyDescent="0.35">
      <c r="A2" s="12" t="s">
        <v>40</v>
      </c>
    </row>
    <row r="4" spans="1:8" x14ac:dyDescent="0.35">
      <c r="A4" s="13" t="s">
        <v>41</v>
      </c>
      <c r="B4" s="13" t="s">
        <v>42</v>
      </c>
      <c r="C4" s="13" t="s">
        <v>29</v>
      </c>
      <c r="D4" s="13" t="s">
        <v>31</v>
      </c>
      <c r="E4" s="13" t="s">
        <v>33</v>
      </c>
      <c r="F4" s="13" t="s">
        <v>35</v>
      </c>
      <c r="G4" s="13" t="s">
        <v>43</v>
      </c>
      <c r="H4" s="13" t="s">
        <v>44</v>
      </c>
    </row>
    <row r="5" spans="1:8" x14ac:dyDescent="0.35">
      <c r="A5" s="14" t="s">
        <v>45</v>
      </c>
      <c r="B5" s="15">
        <f>COUNTIF(Checklist!$C$2:$C$277,A5)</f>
        <v>17</v>
      </c>
      <c r="C5" s="15">
        <f>COUNTIFS(Checklist!$C$2:$C$277,A5,Checklist!$J$2:$J$277,"Pass")</f>
        <v>0</v>
      </c>
      <c r="D5" s="15">
        <f>COUNTIFS(Checklist!$C$2:$C$277,A5,Checklist!$J$2:$J$277,"Fail")</f>
        <v>0</v>
      </c>
      <c r="E5" s="15">
        <f>COUNTIFS(Checklist!$C$2:$C$277,A5,Checklist!$J$2:$J$277,"Blocked")</f>
        <v>0</v>
      </c>
      <c r="F5" s="15">
        <f>COUNTIFS(Checklist!$C$2:$C$277,A5,Checklist!$J$2:$J$277,"N/A")</f>
        <v>0</v>
      </c>
      <c r="G5" s="15">
        <f t="shared" ref="G5:G20" si="0">B5-SUM(C5:F5)</f>
        <v>17</v>
      </c>
      <c r="H5" s="16">
        <f t="shared" ref="H5:H21" si="1">IF(B5=0,0,(B5-G5)/B5)</f>
        <v>0</v>
      </c>
    </row>
    <row r="6" spans="1:8" x14ac:dyDescent="0.35">
      <c r="A6" s="14" t="s">
        <v>46</v>
      </c>
      <c r="B6" s="15">
        <f>COUNTIF(Checklist!$C$2:$C$277,A6)</f>
        <v>29</v>
      </c>
      <c r="C6" s="15">
        <f>COUNTIFS(Checklist!$C$2:$C$277,A6,Checklist!$J$2:$J$277,"Pass")</f>
        <v>0</v>
      </c>
      <c r="D6" s="15">
        <f>COUNTIFS(Checklist!$C$2:$C$277,A6,Checklist!$J$2:$J$277,"Fail")</f>
        <v>0</v>
      </c>
      <c r="E6" s="15">
        <f>COUNTIFS(Checklist!$C$2:$C$277,A6,Checklist!$J$2:$J$277,"Blocked")</f>
        <v>0</v>
      </c>
      <c r="F6" s="15">
        <f>COUNTIFS(Checklist!$C$2:$C$277,A6,Checklist!$J$2:$J$277,"N/A")</f>
        <v>0</v>
      </c>
      <c r="G6" s="15">
        <f t="shared" si="0"/>
        <v>29</v>
      </c>
      <c r="H6" s="16">
        <f t="shared" si="1"/>
        <v>0</v>
      </c>
    </row>
    <row r="7" spans="1:8" x14ac:dyDescent="0.35">
      <c r="A7" s="14" t="s">
        <v>47</v>
      </c>
      <c r="B7" s="15">
        <f>COUNTIF(Checklist!$C$2:$C$277,A7)</f>
        <v>4</v>
      </c>
      <c r="C7" s="15">
        <f>COUNTIFS(Checklist!$C$2:$C$277,A7,Checklist!$J$2:$J$277,"Pass")</f>
        <v>0</v>
      </c>
      <c r="D7" s="15">
        <f>COUNTIFS(Checklist!$C$2:$C$277,A7,Checklist!$J$2:$J$277,"Fail")</f>
        <v>0</v>
      </c>
      <c r="E7" s="15">
        <f>COUNTIFS(Checklist!$C$2:$C$277,A7,Checklist!$J$2:$J$277,"Blocked")</f>
        <v>0</v>
      </c>
      <c r="F7" s="15">
        <f>COUNTIFS(Checklist!$C$2:$C$277,A7,Checklist!$J$2:$J$277,"N/A")</f>
        <v>0</v>
      </c>
      <c r="G7" s="15">
        <f t="shared" si="0"/>
        <v>4</v>
      </c>
      <c r="H7" s="16">
        <f t="shared" si="1"/>
        <v>0</v>
      </c>
    </row>
    <row r="8" spans="1:8" x14ac:dyDescent="0.35">
      <c r="A8" s="14" t="s">
        <v>48</v>
      </c>
      <c r="B8" s="15">
        <f>COUNTIF(Checklist!$C$2:$C$277,A8)</f>
        <v>19</v>
      </c>
      <c r="C8" s="15">
        <f>COUNTIFS(Checklist!$C$2:$C$277,A8,Checklist!$J$2:$J$277,"Pass")</f>
        <v>0</v>
      </c>
      <c r="D8" s="15">
        <f>COUNTIFS(Checklist!$C$2:$C$277,A8,Checklist!$J$2:$J$277,"Fail")</f>
        <v>0</v>
      </c>
      <c r="E8" s="15">
        <f>COUNTIFS(Checklist!$C$2:$C$277,A8,Checklist!$J$2:$J$277,"Blocked")</f>
        <v>0</v>
      </c>
      <c r="F8" s="15">
        <f>COUNTIFS(Checklist!$C$2:$C$277,A8,Checklist!$J$2:$J$277,"N/A")</f>
        <v>0</v>
      </c>
      <c r="G8" s="15">
        <f t="shared" si="0"/>
        <v>19</v>
      </c>
      <c r="H8" s="16">
        <f t="shared" si="1"/>
        <v>0</v>
      </c>
    </row>
    <row r="9" spans="1:8" x14ac:dyDescent="0.35">
      <c r="A9" s="14" t="s">
        <v>49</v>
      </c>
      <c r="B9" s="15">
        <f>COUNTIF(Checklist!$C$2:$C$277,A9)</f>
        <v>22</v>
      </c>
      <c r="C9" s="15">
        <f>COUNTIFS(Checklist!$C$2:$C$277,A9,Checklist!$J$2:$J$277,"Pass")</f>
        <v>0</v>
      </c>
      <c r="D9" s="15">
        <f>COUNTIFS(Checklist!$C$2:$C$277,A9,Checklist!$J$2:$J$277,"Fail")</f>
        <v>0</v>
      </c>
      <c r="E9" s="15">
        <f>COUNTIFS(Checklist!$C$2:$C$277,A9,Checklist!$J$2:$J$277,"Blocked")</f>
        <v>0</v>
      </c>
      <c r="F9" s="15">
        <f>COUNTIFS(Checklist!$C$2:$C$277,A9,Checklist!$J$2:$J$277,"N/A")</f>
        <v>0</v>
      </c>
      <c r="G9" s="15">
        <f t="shared" si="0"/>
        <v>22</v>
      </c>
      <c r="H9" s="16">
        <f t="shared" si="1"/>
        <v>0</v>
      </c>
    </row>
    <row r="10" spans="1:8" x14ac:dyDescent="0.35">
      <c r="A10" s="14" t="s">
        <v>50</v>
      </c>
      <c r="B10" s="15">
        <f>COUNTIF(Checklist!$C$2:$C$277,A10)</f>
        <v>37</v>
      </c>
      <c r="C10" s="15">
        <f>COUNTIFS(Checklist!$C$2:$C$277,A10,Checklist!$J$2:$J$277,"Pass")</f>
        <v>0</v>
      </c>
      <c r="D10" s="15">
        <f>COUNTIFS(Checklist!$C$2:$C$277,A10,Checklist!$J$2:$J$277,"Fail")</f>
        <v>0</v>
      </c>
      <c r="E10" s="15">
        <f>COUNTIFS(Checklist!$C$2:$C$277,A10,Checklist!$J$2:$J$277,"Blocked")</f>
        <v>0</v>
      </c>
      <c r="F10" s="15">
        <f>COUNTIFS(Checklist!$C$2:$C$277,A10,Checklist!$J$2:$J$277,"N/A")</f>
        <v>0</v>
      </c>
      <c r="G10" s="15">
        <f t="shared" si="0"/>
        <v>37</v>
      </c>
      <c r="H10" s="16">
        <f t="shared" si="1"/>
        <v>0</v>
      </c>
    </row>
    <row r="11" spans="1:8" x14ac:dyDescent="0.35">
      <c r="A11" s="14" t="s">
        <v>51</v>
      </c>
      <c r="B11" s="15">
        <f>COUNTIF(Checklist!$C$2:$C$277,A11)</f>
        <v>15</v>
      </c>
      <c r="C11" s="15">
        <f>COUNTIFS(Checklist!$C$2:$C$277,A11,Checklist!$J$2:$J$277,"Pass")</f>
        <v>0</v>
      </c>
      <c r="D11" s="15">
        <f>COUNTIFS(Checklist!$C$2:$C$277,A11,Checklist!$J$2:$J$277,"Fail")</f>
        <v>0</v>
      </c>
      <c r="E11" s="15">
        <f>COUNTIFS(Checklist!$C$2:$C$277,A11,Checklist!$J$2:$J$277,"Blocked")</f>
        <v>0</v>
      </c>
      <c r="F11" s="15">
        <f>COUNTIFS(Checklist!$C$2:$C$277,A11,Checklist!$J$2:$J$277,"N/A")</f>
        <v>0</v>
      </c>
      <c r="G11" s="15">
        <f t="shared" si="0"/>
        <v>15</v>
      </c>
      <c r="H11" s="16">
        <f t="shared" si="1"/>
        <v>0</v>
      </c>
    </row>
    <row r="12" spans="1:8" x14ac:dyDescent="0.35">
      <c r="A12" s="14" t="s">
        <v>52</v>
      </c>
      <c r="B12" s="15">
        <f>COUNTIF(Checklist!$C$2:$C$277,A12)</f>
        <v>5</v>
      </c>
      <c r="C12" s="15">
        <f>COUNTIFS(Checklist!$C$2:$C$277,A12,Checklist!$J$2:$J$277,"Pass")</f>
        <v>0</v>
      </c>
      <c r="D12" s="15">
        <f>COUNTIFS(Checklist!$C$2:$C$277,A12,Checklist!$J$2:$J$277,"Fail")</f>
        <v>0</v>
      </c>
      <c r="E12" s="15">
        <f>COUNTIFS(Checklist!$C$2:$C$277,A12,Checklist!$J$2:$J$277,"Blocked")</f>
        <v>0</v>
      </c>
      <c r="F12" s="15">
        <f>COUNTIFS(Checklist!$C$2:$C$277,A12,Checklist!$J$2:$J$277,"N/A")</f>
        <v>0</v>
      </c>
      <c r="G12" s="15">
        <f t="shared" si="0"/>
        <v>5</v>
      </c>
      <c r="H12" s="16">
        <f t="shared" si="1"/>
        <v>0</v>
      </c>
    </row>
    <row r="13" spans="1:8" x14ac:dyDescent="0.35">
      <c r="A13" s="14" t="s">
        <v>53</v>
      </c>
      <c r="B13" s="15">
        <f>COUNTIF(Checklist!$C$2:$C$277,A13)</f>
        <v>15</v>
      </c>
      <c r="C13" s="15">
        <f>COUNTIFS(Checklist!$C$2:$C$277,A13,Checklist!$J$2:$J$277,"Pass")</f>
        <v>0</v>
      </c>
      <c r="D13" s="15">
        <f>COUNTIFS(Checklist!$C$2:$C$277,A13,Checklist!$J$2:$J$277,"Fail")</f>
        <v>0</v>
      </c>
      <c r="E13" s="15">
        <f>COUNTIFS(Checklist!$C$2:$C$277,A13,Checklist!$J$2:$J$277,"Blocked")</f>
        <v>0</v>
      </c>
      <c r="F13" s="15">
        <f>COUNTIFS(Checklist!$C$2:$C$277,A13,Checklist!$J$2:$J$277,"N/A")</f>
        <v>0</v>
      </c>
      <c r="G13" s="15">
        <f t="shared" si="0"/>
        <v>15</v>
      </c>
      <c r="H13" s="16">
        <f t="shared" si="1"/>
        <v>0</v>
      </c>
    </row>
    <row r="14" spans="1:8" x14ac:dyDescent="0.35">
      <c r="A14" s="14" t="s">
        <v>54</v>
      </c>
      <c r="B14" s="15">
        <f>COUNTIF(Checklist!$C$2:$C$277,A14)</f>
        <v>14</v>
      </c>
      <c r="C14" s="15">
        <f>COUNTIFS(Checklist!$C$2:$C$277,A14,Checklist!$J$2:$J$277,"Pass")</f>
        <v>0</v>
      </c>
      <c r="D14" s="15">
        <f>COUNTIFS(Checklist!$C$2:$C$277,A14,Checklist!$J$2:$J$277,"Fail")</f>
        <v>0</v>
      </c>
      <c r="E14" s="15">
        <f>COUNTIFS(Checklist!$C$2:$C$277,A14,Checklist!$J$2:$J$277,"Blocked")</f>
        <v>0</v>
      </c>
      <c r="F14" s="15">
        <f>COUNTIFS(Checklist!$C$2:$C$277,A14,Checklist!$J$2:$J$277,"N/A")</f>
        <v>0</v>
      </c>
      <c r="G14" s="15">
        <f t="shared" si="0"/>
        <v>14</v>
      </c>
      <c r="H14" s="16">
        <f t="shared" si="1"/>
        <v>0</v>
      </c>
    </row>
    <row r="15" spans="1:8" x14ac:dyDescent="0.35">
      <c r="A15" s="14" t="s">
        <v>55</v>
      </c>
      <c r="B15" s="15">
        <f>COUNTIF(Checklist!$C$2:$C$277,A15)</f>
        <v>21</v>
      </c>
      <c r="C15" s="15">
        <f>COUNTIFS(Checklist!$C$2:$C$277,A15,Checklist!$J$2:$J$277,"Pass")</f>
        <v>0</v>
      </c>
      <c r="D15" s="15">
        <f>COUNTIFS(Checklist!$C$2:$C$277,A15,Checklist!$J$2:$J$277,"Fail")</f>
        <v>0</v>
      </c>
      <c r="E15" s="15">
        <f>COUNTIFS(Checklist!$C$2:$C$277,A15,Checklist!$J$2:$J$277,"Blocked")</f>
        <v>0</v>
      </c>
      <c r="F15" s="15">
        <f>COUNTIFS(Checklist!$C$2:$C$277,A15,Checklist!$J$2:$J$277,"N/A")</f>
        <v>0</v>
      </c>
      <c r="G15" s="15">
        <f t="shared" si="0"/>
        <v>21</v>
      </c>
      <c r="H15" s="16">
        <f t="shared" si="1"/>
        <v>0</v>
      </c>
    </row>
    <row r="16" spans="1:8" x14ac:dyDescent="0.35">
      <c r="A16" s="14" t="s">
        <v>56</v>
      </c>
      <c r="B16" s="15">
        <f>COUNTIF(Checklist!$C$2:$C$277,A16)</f>
        <v>24</v>
      </c>
      <c r="C16" s="15">
        <f>COUNTIFS(Checklist!$C$2:$C$277,A16,Checklist!$J$2:$J$277,"Pass")</f>
        <v>0</v>
      </c>
      <c r="D16" s="15">
        <f>COUNTIFS(Checklist!$C$2:$C$277,A16,Checklist!$J$2:$J$277,"Fail")</f>
        <v>0</v>
      </c>
      <c r="E16" s="15">
        <f>COUNTIFS(Checklist!$C$2:$C$277,A16,Checklist!$J$2:$J$277,"Blocked")</f>
        <v>0</v>
      </c>
      <c r="F16" s="15">
        <f>COUNTIFS(Checklist!$C$2:$C$277,A16,Checklist!$J$2:$J$277,"N/A")</f>
        <v>0</v>
      </c>
      <c r="G16" s="15">
        <f t="shared" si="0"/>
        <v>24</v>
      </c>
      <c r="H16" s="16">
        <f t="shared" si="1"/>
        <v>0</v>
      </c>
    </row>
    <row r="17" spans="1:8" x14ac:dyDescent="0.35">
      <c r="A17" s="14" t="s">
        <v>57</v>
      </c>
      <c r="B17" s="15">
        <f>COUNTIF(Checklist!$C$2:$C$277,A17)</f>
        <v>19</v>
      </c>
      <c r="C17" s="15">
        <f>COUNTIFS(Checklist!$C$2:$C$277,A17,Checklist!$J$2:$J$277,"Pass")</f>
        <v>0</v>
      </c>
      <c r="D17" s="15">
        <f>COUNTIFS(Checklist!$C$2:$C$277,A17,Checklist!$J$2:$J$277,"Fail")</f>
        <v>0</v>
      </c>
      <c r="E17" s="15">
        <f>COUNTIFS(Checklist!$C$2:$C$277,A17,Checklist!$J$2:$J$277,"Blocked")</f>
        <v>0</v>
      </c>
      <c r="F17" s="15">
        <f>COUNTIFS(Checklist!$C$2:$C$277,A17,Checklist!$J$2:$J$277,"N/A")</f>
        <v>0</v>
      </c>
      <c r="G17" s="15">
        <f t="shared" si="0"/>
        <v>19</v>
      </c>
      <c r="H17" s="16">
        <f t="shared" si="1"/>
        <v>0</v>
      </c>
    </row>
    <row r="18" spans="1:8" x14ac:dyDescent="0.35">
      <c r="A18" s="14" t="s">
        <v>58</v>
      </c>
      <c r="B18" s="15">
        <f>COUNTIF(Checklist!$C$2:$C$277,A18)</f>
        <v>10</v>
      </c>
      <c r="C18" s="15">
        <f>COUNTIFS(Checklist!$C$2:$C$277,A18,Checklist!$J$2:$J$277,"Pass")</f>
        <v>0</v>
      </c>
      <c r="D18" s="15">
        <f>COUNTIFS(Checklist!$C$2:$C$277,A18,Checklist!$J$2:$J$277,"Fail")</f>
        <v>0</v>
      </c>
      <c r="E18" s="15">
        <f>COUNTIFS(Checklist!$C$2:$C$277,A18,Checklist!$J$2:$J$277,"Blocked")</f>
        <v>0</v>
      </c>
      <c r="F18" s="15">
        <f>COUNTIFS(Checklist!$C$2:$C$277,A18,Checklist!$J$2:$J$277,"N/A")</f>
        <v>0</v>
      </c>
      <c r="G18" s="15">
        <f t="shared" si="0"/>
        <v>10</v>
      </c>
      <c r="H18" s="16">
        <f t="shared" si="1"/>
        <v>0</v>
      </c>
    </row>
    <row r="19" spans="1:8" x14ac:dyDescent="0.35">
      <c r="A19" s="14" t="s">
        <v>59</v>
      </c>
      <c r="B19" s="15">
        <f>COUNTIF(Checklist!$C$2:$C$277,A19)</f>
        <v>18</v>
      </c>
      <c r="C19" s="15">
        <f>COUNTIFS(Checklist!$C$2:$C$277,A19,Checklist!$J$2:$J$277,"Pass")</f>
        <v>0</v>
      </c>
      <c r="D19" s="15">
        <f>COUNTIFS(Checklist!$C$2:$C$277,A19,Checklist!$J$2:$J$277,"Fail")</f>
        <v>0</v>
      </c>
      <c r="E19" s="15">
        <f>COUNTIFS(Checklist!$C$2:$C$277,A19,Checklist!$J$2:$J$277,"Blocked")</f>
        <v>0</v>
      </c>
      <c r="F19" s="15">
        <f>COUNTIFS(Checklist!$C$2:$C$277,A19,Checklist!$J$2:$J$277,"N/A")</f>
        <v>0</v>
      </c>
      <c r="G19" s="15">
        <f t="shared" si="0"/>
        <v>18</v>
      </c>
      <c r="H19" s="16">
        <f t="shared" si="1"/>
        <v>0</v>
      </c>
    </row>
    <row r="20" spans="1:8" x14ac:dyDescent="0.35">
      <c r="A20" s="14" t="s">
        <v>60</v>
      </c>
      <c r="B20" s="15">
        <f>COUNTIF(Checklist!$C$2:$C$277,A20)</f>
        <v>7</v>
      </c>
      <c r="C20" s="15">
        <f>COUNTIFS(Checklist!$C$2:$C$277,A20,Checklist!$J$2:$J$277,"Pass")</f>
        <v>0</v>
      </c>
      <c r="D20" s="15">
        <f>COUNTIFS(Checklist!$C$2:$C$277,A20,Checklist!$J$2:$J$277,"Fail")</f>
        <v>0</v>
      </c>
      <c r="E20" s="15">
        <f>COUNTIFS(Checklist!$C$2:$C$277,A20,Checklist!$J$2:$J$277,"Blocked")</f>
        <v>0</v>
      </c>
      <c r="F20" s="15">
        <f>COUNTIFS(Checklist!$C$2:$C$277,A20,Checklist!$J$2:$J$277,"N/A")</f>
        <v>0</v>
      </c>
      <c r="G20" s="15">
        <f t="shared" si="0"/>
        <v>7</v>
      </c>
      <c r="H20" s="16">
        <f t="shared" si="1"/>
        <v>0</v>
      </c>
    </row>
    <row r="21" spans="1:8" x14ac:dyDescent="0.35">
      <c r="A21" s="17" t="s">
        <v>61</v>
      </c>
      <c r="B21" s="18">
        <f t="shared" ref="B21:G21" si="2">SUM(B5:B20)</f>
        <v>276</v>
      </c>
      <c r="C21" s="18">
        <f t="shared" si="2"/>
        <v>0</v>
      </c>
      <c r="D21" s="18">
        <f t="shared" si="2"/>
        <v>0</v>
      </c>
      <c r="E21" s="18">
        <f t="shared" si="2"/>
        <v>0</v>
      </c>
      <c r="F21" s="18">
        <f t="shared" si="2"/>
        <v>0</v>
      </c>
      <c r="G21" s="18">
        <f t="shared" si="2"/>
        <v>276</v>
      </c>
      <c r="H21" s="19">
        <f t="shared" si="1"/>
        <v>0</v>
      </c>
    </row>
    <row r="23" spans="1:8" x14ac:dyDescent="0.35">
      <c r="A23" s="4" t="s">
        <v>62</v>
      </c>
    </row>
    <row r="24" spans="1:8" x14ac:dyDescent="0.35">
      <c r="A24" s="13" t="s">
        <v>8</v>
      </c>
      <c r="B24" s="13" t="s">
        <v>42</v>
      </c>
      <c r="C24" s="13" t="s">
        <v>29</v>
      </c>
      <c r="D24" s="13" t="s">
        <v>31</v>
      </c>
      <c r="E24" s="13" t="s">
        <v>33</v>
      </c>
      <c r="F24" s="13" t="s">
        <v>35</v>
      </c>
      <c r="G24" s="13" t="s">
        <v>43</v>
      </c>
      <c r="H24" s="13" t="s">
        <v>44</v>
      </c>
    </row>
    <row r="25" spans="1:8" x14ac:dyDescent="0.35">
      <c r="A25" s="14" t="s">
        <v>63</v>
      </c>
      <c r="B25" s="15">
        <f>COUNTIF(Checklist!$I$2:$I$277,A25)</f>
        <v>63</v>
      </c>
      <c r="C25" s="15">
        <f>COUNTIFS(Checklist!$I$2:$I$277,A25,Checklist!$J$2:$J$277,"Pass")</f>
        <v>0</v>
      </c>
      <c r="D25" s="15">
        <f>COUNTIFS(Checklist!$I$2:$I$277,A25,Checklist!$J$2:$J$277,"Fail")</f>
        <v>0</v>
      </c>
      <c r="E25" s="15">
        <f>COUNTIFS(Checklist!$I$2:$I$277,A25,Checklist!$J$2:$J$277,"Blocked")</f>
        <v>0</v>
      </c>
      <c r="F25" s="15">
        <f>COUNTIFS(Checklist!$I$2:$I$277,A25,Checklist!$J$2:$J$277,"N/A")</f>
        <v>0</v>
      </c>
      <c r="G25" s="15">
        <f>B25-SUM(C25:F25)</f>
        <v>63</v>
      </c>
      <c r="H25" s="16">
        <f>IF(B25=0,0,(B25-G25)/B25)</f>
        <v>0</v>
      </c>
    </row>
    <row r="26" spans="1:8" x14ac:dyDescent="0.35">
      <c r="A26" s="14" t="s">
        <v>64</v>
      </c>
      <c r="B26" s="15">
        <f>COUNTIF(Checklist!$I$2:$I$277,A26)</f>
        <v>145</v>
      </c>
      <c r="C26" s="15">
        <f>COUNTIFS(Checklist!$I$2:$I$277,A26,Checklist!$J$2:$J$277,"Pass")</f>
        <v>0</v>
      </c>
      <c r="D26" s="15">
        <f>COUNTIFS(Checklist!$I$2:$I$277,A26,Checklist!$J$2:$J$277,"Fail")</f>
        <v>0</v>
      </c>
      <c r="E26" s="15">
        <f>COUNTIFS(Checklist!$I$2:$I$277,A26,Checklist!$J$2:$J$277,"Blocked")</f>
        <v>0</v>
      </c>
      <c r="F26" s="15">
        <f>COUNTIFS(Checklist!$I$2:$I$277,A26,Checklist!$J$2:$J$277,"N/A")</f>
        <v>0</v>
      </c>
      <c r="G26" s="15">
        <f>B26-SUM(C26:F26)</f>
        <v>145</v>
      </c>
      <c r="H26" s="16">
        <f>IF(B26=0,0,(B26-G26)/B26)</f>
        <v>0</v>
      </c>
    </row>
    <row r="27" spans="1:8" x14ac:dyDescent="0.35">
      <c r="A27" s="14" t="s">
        <v>65</v>
      </c>
      <c r="B27" s="15">
        <f>COUNTIF(Checklist!$I$2:$I$277,A27)</f>
        <v>68</v>
      </c>
      <c r="C27" s="15">
        <f>COUNTIFS(Checklist!$I$2:$I$277,A27,Checklist!$J$2:$J$277,"Pass")</f>
        <v>0</v>
      </c>
      <c r="D27" s="15">
        <f>COUNTIFS(Checklist!$I$2:$I$277,A27,Checklist!$J$2:$J$277,"Fail")</f>
        <v>0</v>
      </c>
      <c r="E27" s="15">
        <f>COUNTIFS(Checklist!$I$2:$I$277,A27,Checklist!$J$2:$J$277,"Blocked")</f>
        <v>0</v>
      </c>
      <c r="F27" s="15">
        <f>COUNTIFS(Checklist!$I$2:$I$277,A27,Checklist!$J$2:$J$277,"N/A")</f>
        <v>0</v>
      </c>
      <c r="G27" s="15">
        <f>B27-SUM(C27:F27)</f>
        <v>68</v>
      </c>
      <c r="H27" s="16">
        <f>IF(B27=0,0,(B27-G27)/B27)</f>
        <v>0</v>
      </c>
    </row>
    <row r="28" spans="1:8" x14ac:dyDescent="0.35">
      <c r="A28" s="20" t="s">
        <v>66</v>
      </c>
      <c r="B28" s="21">
        <f>D25+E25</f>
        <v>0</v>
      </c>
    </row>
    <row r="30" spans="1:8" x14ac:dyDescent="0.35">
      <c r="A30" s="4" t="s">
        <v>67</v>
      </c>
    </row>
    <row r="31" spans="1:8" x14ac:dyDescent="0.35">
      <c r="A31" s="13" t="s">
        <v>68</v>
      </c>
      <c r="B31" s="13" t="s">
        <v>42</v>
      </c>
      <c r="C31" s="13" t="s">
        <v>29</v>
      </c>
      <c r="D31" s="13" t="s">
        <v>31</v>
      </c>
      <c r="E31" s="13" t="s">
        <v>33</v>
      </c>
      <c r="F31" s="13" t="s">
        <v>35</v>
      </c>
      <c r="G31" s="13" t="s">
        <v>43</v>
      </c>
      <c r="H31" s="13" t="s">
        <v>44</v>
      </c>
    </row>
    <row r="32" spans="1:8" x14ac:dyDescent="0.35">
      <c r="A32" s="14" t="s">
        <v>69</v>
      </c>
      <c r="B32" s="15">
        <f>COUNTIF(Checklist!$E$2:$E$277,A32)</f>
        <v>71</v>
      </c>
      <c r="C32" s="15">
        <f>COUNTIFS(Checklist!$E$2:$E$277,A32,Checklist!$J$2:$J$277,"Pass")</f>
        <v>0</v>
      </c>
      <c r="D32" s="15">
        <f>COUNTIFS(Checklist!$E$2:$E$277,A32,Checklist!$J$2:$J$277,"Fail")</f>
        <v>0</v>
      </c>
      <c r="E32" s="15">
        <f>COUNTIFS(Checklist!$E$2:$E$277,A32,Checklist!$J$2:$J$277,"Blocked")</f>
        <v>0</v>
      </c>
      <c r="F32" s="15">
        <f>COUNTIFS(Checklist!$E$2:$E$277,A32,Checklist!$J$2:$J$277,"N/A")</f>
        <v>0</v>
      </c>
      <c r="G32" s="15">
        <f t="shared" ref="G32:G48" si="3">B32-SUM(C32:F32)</f>
        <v>71</v>
      </c>
      <c r="H32" s="16">
        <f t="shared" ref="H32:H48" si="4">IF(B32=0,0,(B32-G32)/B32)</f>
        <v>0</v>
      </c>
    </row>
    <row r="33" spans="1:8" x14ac:dyDescent="0.35">
      <c r="A33" s="14" t="s">
        <v>70</v>
      </c>
      <c r="B33" s="15">
        <f>COUNTIF(Checklist!$E$2:$E$277,A33)</f>
        <v>8</v>
      </c>
      <c r="C33" s="15">
        <f>COUNTIFS(Checklist!$E$2:$E$277,A33,Checklist!$J$2:$J$277,"Pass")</f>
        <v>0</v>
      </c>
      <c r="D33" s="15">
        <f>COUNTIFS(Checklist!$E$2:$E$277,A33,Checklist!$J$2:$J$277,"Fail")</f>
        <v>0</v>
      </c>
      <c r="E33" s="15">
        <f>COUNTIFS(Checklist!$E$2:$E$277,A33,Checklist!$J$2:$J$277,"Blocked")</f>
        <v>0</v>
      </c>
      <c r="F33" s="15">
        <f>COUNTIFS(Checklist!$E$2:$E$277,A33,Checklist!$J$2:$J$277,"N/A")</f>
        <v>0</v>
      </c>
      <c r="G33" s="15">
        <f t="shared" si="3"/>
        <v>8</v>
      </c>
      <c r="H33" s="16">
        <f t="shared" si="4"/>
        <v>0</v>
      </c>
    </row>
    <row r="34" spans="1:8" x14ac:dyDescent="0.35">
      <c r="A34" s="14" t="s">
        <v>71</v>
      </c>
      <c r="B34" s="15">
        <f>COUNTIF(Checklist!$E$2:$E$277,A34)</f>
        <v>45</v>
      </c>
      <c r="C34" s="15">
        <f>COUNTIFS(Checklist!$E$2:$E$277,A34,Checklist!$J$2:$J$277,"Pass")</f>
        <v>0</v>
      </c>
      <c r="D34" s="15">
        <f>COUNTIFS(Checklist!$E$2:$E$277,A34,Checklist!$J$2:$J$277,"Fail")</f>
        <v>0</v>
      </c>
      <c r="E34" s="15">
        <f>COUNTIFS(Checklist!$E$2:$E$277,A34,Checklist!$J$2:$J$277,"Blocked")</f>
        <v>0</v>
      </c>
      <c r="F34" s="15">
        <f>COUNTIFS(Checklist!$E$2:$E$277,A34,Checklist!$J$2:$J$277,"N/A")</f>
        <v>0</v>
      </c>
      <c r="G34" s="15">
        <f t="shared" si="3"/>
        <v>45</v>
      </c>
      <c r="H34" s="16">
        <f t="shared" si="4"/>
        <v>0</v>
      </c>
    </row>
    <row r="35" spans="1:8" x14ac:dyDescent="0.35">
      <c r="A35" s="14" t="s">
        <v>72</v>
      </c>
      <c r="B35" s="15">
        <f>COUNTIF(Checklist!$E$2:$E$277,A35)</f>
        <v>15</v>
      </c>
      <c r="C35" s="15">
        <f>COUNTIFS(Checklist!$E$2:$E$277,A35,Checklist!$J$2:$J$277,"Pass")</f>
        <v>0</v>
      </c>
      <c r="D35" s="15">
        <f>COUNTIFS(Checklist!$E$2:$E$277,A35,Checklist!$J$2:$J$277,"Fail")</f>
        <v>0</v>
      </c>
      <c r="E35" s="15">
        <f>COUNTIFS(Checklist!$E$2:$E$277,A35,Checklist!$J$2:$J$277,"Blocked")</f>
        <v>0</v>
      </c>
      <c r="F35" s="15">
        <f>COUNTIFS(Checklist!$E$2:$E$277,A35,Checklist!$J$2:$J$277,"N/A")</f>
        <v>0</v>
      </c>
      <c r="G35" s="15">
        <f t="shared" si="3"/>
        <v>15</v>
      </c>
      <c r="H35" s="16">
        <f t="shared" si="4"/>
        <v>0</v>
      </c>
    </row>
    <row r="36" spans="1:8" x14ac:dyDescent="0.35">
      <c r="A36" s="14" t="s">
        <v>73</v>
      </c>
      <c r="B36" s="15">
        <f>COUNTIF(Checklist!$E$2:$E$277,A36)</f>
        <v>5</v>
      </c>
      <c r="C36" s="15">
        <f>COUNTIFS(Checklist!$E$2:$E$277,A36,Checklist!$J$2:$J$277,"Pass")</f>
        <v>0</v>
      </c>
      <c r="D36" s="15">
        <f>COUNTIFS(Checklist!$E$2:$E$277,A36,Checklist!$J$2:$J$277,"Fail")</f>
        <v>0</v>
      </c>
      <c r="E36" s="15">
        <f>COUNTIFS(Checklist!$E$2:$E$277,A36,Checklist!$J$2:$J$277,"Blocked")</f>
        <v>0</v>
      </c>
      <c r="F36" s="15">
        <f>COUNTIFS(Checklist!$E$2:$E$277,A36,Checklist!$J$2:$J$277,"N/A")</f>
        <v>0</v>
      </c>
      <c r="G36" s="15">
        <f t="shared" si="3"/>
        <v>5</v>
      </c>
      <c r="H36" s="16">
        <f t="shared" si="4"/>
        <v>0</v>
      </c>
    </row>
    <row r="37" spans="1:8" x14ac:dyDescent="0.35">
      <c r="A37" s="14" t="s">
        <v>74</v>
      </c>
      <c r="B37" s="15">
        <f>COUNTIF(Checklist!$E$2:$E$277,A37)</f>
        <v>49</v>
      </c>
      <c r="C37" s="15">
        <f>COUNTIFS(Checklist!$E$2:$E$277,A37,Checklist!$J$2:$J$277,"Pass")</f>
        <v>0</v>
      </c>
      <c r="D37" s="15">
        <f>COUNTIFS(Checklist!$E$2:$E$277,A37,Checklist!$J$2:$J$277,"Fail")</f>
        <v>0</v>
      </c>
      <c r="E37" s="15">
        <f>COUNTIFS(Checklist!$E$2:$E$277,A37,Checklist!$J$2:$J$277,"Blocked")</f>
        <v>0</v>
      </c>
      <c r="F37" s="15">
        <f>COUNTIFS(Checklist!$E$2:$E$277,A37,Checklist!$J$2:$J$277,"N/A")</f>
        <v>0</v>
      </c>
      <c r="G37" s="15">
        <f t="shared" si="3"/>
        <v>49</v>
      </c>
      <c r="H37" s="16">
        <f t="shared" si="4"/>
        <v>0</v>
      </c>
    </row>
    <row r="38" spans="1:8" x14ac:dyDescent="0.35">
      <c r="A38" s="14" t="s">
        <v>75</v>
      </c>
      <c r="B38" s="15">
        <f>COUNTIF(Checklist!$E$2:$E$277,A38)</f>
        <v>14</v>
      </c>
      <c r="C38" s="15">
        <f>COUNTIFS(Checklist!$E$2:$E$277,A38,Checklist!$J$2:$J$277,"Pass")</f>
        <v>0</v>
      </c>
      <c r="D38" s="15">
        <f>COUNTIFS(Checklist!$E$2:$E$277,A38,Checklist!$J$2:$J$277,"Fail")</f>
        <v>0</v>
      </c>
      <c r="E38" s="15">
        <f>COUNTIFS(Checklist!$E$2:$E$277,A38,Checklist!$J$2:$J$277,"Blocked")</f>
        <v>0</v>
      </c>
      <c r="F38" s="15">
        <f>COUNTIFS(Checklist!$E$2:$E$277,A38,Checklist!$J$2:$J$277,"N/A")</f>
        <v>0</v>
      </c>
      <c r="G38" s="15">
        <f t="shared" si="3"/>
        <v>14</v>
      </c>
      <c r="H38" s="16">
        <f t="shared" si="4"/>
        <v>0</v>
      </c>
    </row>
    <row r="39" spans="1:8" x14ac:dyDescent="0.35">
      <c r="A39" s="14" t="s">
        <v>76</v>
      </c>
      <c r="B39" s="15">
        <f>COUNTIF(Checklist!$E$2:$E$277,A39)</f>
        <v>21</v>
      </c>
      <c r="C39" s="15">
        <f>COUNTIFS(Checklist!$E$2:$E$277,A39,Checklist!$J$2:$J$277,"Pass")</f>
        <v>0</v>
      </c>
      <c r="D39" s="15">
        <f>COUNTIFS(Checklist!$E$2:$E$277,A39,Checklist!$J$2:$J$277,"Fail")</f>
        <v>0</v>
      </c>
      <c r="E39" s="15">
        <f>COUNTIFS(Checklist!$E$2:$E$277,A39,Checklist!$J$2:$J$277,"Blocked")</f>
        <v>0</v>
      </c>
      <c r="F39" s="15">
        <f>COUNTIFS(Checklist!$E$2:$E$277,A39,Checklist!$J$2:$J$277,"N/A")</f>
        <v>0</v>
      </c>
      <c r="G39" s="15">
        <f t="shared" si="3"/>
        <v>21</v>
      </c>
      <c r="H39" s="16">
        <f t="shared" si="4"/>
        <v>0</v>
      </c>
    </row>
    <row r="40" spans="1:8" x14ac:dyDescent="0.35">
      <c r="A40" s="14" t="s">
        <v>77</v>
      </c>
      <c r="B40" s="15">
        <f>COUNTIF(Checklist!$E$2:$E$277,A40)</f>
        <v>17</v>
      </c>
      <c r="C40" s="15">
        <f>COUNTIFS(Checklist!$E$2:$E$277,A40,Checklist!$J$2:$J$277,"Pass")</f>
        <v>0</v>
      </c>
      <c r="D40" s="15">
        <f>COUNTIFS(Checklist!$E$2:$E$277,A40,Checklist!$J$2:$J$277,"Fail")</f>
        <v>0</v>
      </c>
      <c r="E40" s="15">
        <f>COUNTIFS(Checklist!$E$2:$E$277,A40,Checklist!$J$2:$J$277,"Blocked")</f>
        <v>0</v>
      </c>
      <c r="F40" s="15">
        <f>COUNTIFS(Checklist!$E$2:$E$277,A40,Checklist!$J$2:$J$277,"N/A")</f>
        <v>0</v>
      </c>
      <c r="G40" s="15">
        <f t="shared" si="3"/>
        <v>17</v>
      </c>
      <c r="H40" s="16">
        <f t="shared" si="4"/>
        <v>0</v>
      </c>
    </row>
    <row r="41" spans="1:8" x14ac:dyDescent="0.35">
      <c r="A41" s="14" t="s">
        <v>78</v>
      </c>
      <c r="B41" s="15">
        <f>COUNTIF(Checklist!$E$2:$E$277,A41)</f>
        <v>12</v>
      </c>
      <c r="C41" s="15">
        <f>COUNTIFS(Checklist!$E$2:$E$277,A41,Checklist!$J$2:$J$277,"Pass")</f>
        <v>0</v>
      </c>
      <c r="D41" s="15">
        <f>COUNTIFS(Checklist!$E$2:$E$277,A41,Checklist!$J$2:$J$277,"Fail")</f>
        <v>0</v>
      </c>
      <c r="E41" s="15">
        <f>COUNTIFS(Checklist!$E$2:$E$277,A41,Checklist!$J$2:$J$277,"Blocked")</f>
        <v>0</v>
      </c>
      <c r="F41" s="15">
        <f>COUNTIFS(Checklist!$E$2:$E$277,A41,Checklist!$J$2:$J$277,"N/A")</f>
        <v>0</v>
      </c>
      <c r="G41" s="15">
        <f t="shared" si="3"/>
        <v>12</v>
      </c>
      <c r="H41" s="16">
        <f t="shared" si="4"/>
        <v>0</v>
      </c>
    </row>
    <row r="42" spans="1:8" x14ac:dyDescent="0.35">
      <c r="A42" s="14" t="s">
        <v>79</v>
      </c>
      <c r="B42" s="15">
        <f>COUNTIF(Checklist!$E$2:$E$277,A42)</f>
        <v>1</v>
      </c>
      <c r="C42" s="15">
        <f>COUNTIFS(Checklist!$E$2:$E$277,A42,Checklist!$J$2:$J$277,"Pass")</f>
        <v>0</v>
      </c>
      <c r="D42" s="15">
        <f>COUNTIFS(Checklist!$E$2:$E$277,A42,Checklist!$J$2:$J$277,"Fail")</f>
        <v>0</v>
      </c>
      <c r="E42" s="15">
        <f>COUNTIFS(Checklist!$E$2:$E$277,A42,Checklist!$J$2:$J$277,"Blocked")</f>
        <v>0</v>
      </c>
      <c r="F42" s="15">
        <f>COUNTIFS(Checklist!$E$2:$E$277,A42,Checklist!$J$2:$J$277,"N/A")</f>
        <v>0</v>
      </c>
      <c r="G42" s="15">
        <f t="shared" si="3"/>
        <v>1</v>
      </c>
      <c r="H42" s="16">
        <f t="shared" si="4"/>
        <v>0</v>
      </c>
    </row>
    <row r="43" spans="1:8" x14ac:dyDescent="0.35">
      <c r="A43" s="14" t="s">
        <v>80</v>
      </c>
      <c r="B43" s="15">
        <f>COUNTIF(Checklist!$E$2:$E$277,A43)</f>
        <v>1</v>
      </c>
      <c r="C43" s="15">
        <f>COUNTIFS(Checklist!$E$2:$E$277,A43,Checklist!$J$2:$J$277,"Pass")</f>
        <v>0</v>
      </c>
      <c r="D43" s="15">
        <f>COUNTIFS(Checklist!$E$2:$E$277,A43,Checklist!$J$2:$J$277,"Fail")</f>
        <v>0</v>
      </c>
      <c r="E43" s="15">
        <f>COUNTIFS(Checklist!$E$2:$E$277,A43,Checklist!$J$2:$J$277,"Blocked")</f>
        <v>0</v>
      </c>
      <c r="F43" s="15">
        <f>COUNTIFS(Checklist!$E$2:$E$277,A43,Checklist!$J$2:$J$277,"N/A")</f>
        <v>0</v>
      </c>
      <c r="G43" s="15">
        <f t="shared" si="3"/>
        <v>1</v>
      </c>
      <c r="H43" s="16">
        <f t="shared" si="4"/>
        <v>0</v>
      </c>
    </row>
    <row r="44" spans="1:8" x14ac:dyDescent="0.35">
      <c r="A44" s="14" t="s">
        <v>81</v>
      </c>
      <c r="B44" s="15">
        <f>COUNTIF(Checklist!$E$2:$E$277,A44)</f>
        <v>1</v>
      </c>
      <c r="C44" s="15">
        <f>COUNTIFS(Checklist!$E$2:$E$277,A44,Checklist!$J$2:$J$277,"Pass")</f>
        <v>0</v>
      </c>
      <c r="D44" s="15">
        <f>COUNTIFS(Checklist!$E$2:$E$277,A44,Checklist!$J$2:$J$277,"Fail")</f>
        <v>0</v>
      </c>
      <c r="E44" s="15">
        <f>COUNTIFS(Checklist!$E$2:$E$277,A44,Checklist!$J$2:$J$277,"Blocked")</f>
        <v>0</v>
      </c>
      <c r="F44" s="15">
        <f>COUNTIFS(Checklist!$E$2:$E$277,A44,Checklist!$J$2:$J$277,"N/A")</f>
        <v>0</v>
      </c>
      <c r="G44" s="15">
        <f t="shared" si="3"/>
        <v>1</v>
      </c>
      <c r="H44" s="16">
        <f t="shared" si="4"/>
        <v>0</v>
      </c>
    </row>
    <row r="45" spans="1:8" x14ac:dyDescent="0.35">
      <c r="A45" s="14" t="s">
        <v>82</v>
      </c>
      <c r="B45" s="15">
        <f>COUNTIF(Checklist!$E$2:$E$277,A45)</f>
        <v>1</v>
      </c>
      <c r="C45" s="15">
        <f>COUNTIFS(Checklist!$E$2:$E$277,A45,Checklist!$J$2:$J$277,"Pass")</f>
        <v>0</v>
      </c>
      <c r="D45" s="15">
        <f>COUNTIFS(Checklist!$E$2:$E$277,A45,Checklist!$J$2:$J$277,"Fail")</f>
        <v>0</v>
      </c>
      <c r="E45" s="15">
        <f>COUNTIFS(Checklist!$E$2:$E$277,A45,Checklist!$J$2:$J$277,"Blocked")</f>
        <v>0</v>
      </c>
      <c r="F45" s="15">
        <f>COUNTIFS(Checklist!$E$2:$E$277,A45,Checklist!$J$2:$J$277,"N/A")</f>
        <v>0</v>
      </c>
      <c r="G45" s="15">
        <f t="shared" si="3"/>
        <v>1</v>
      </c>
      <c r="H45" s="16">
        <f t="shared" si="4"/>
        <v>0</v>
      </c>
    </row>
    <row r="46" spans="1:8" x14ac:dyDescent="0.35">
      <c r="A46" s="14" t="s">
        <v>83</v>
      </c>
      <c r="B46" s="15">
        <f>COUNTIF(Checklist!$E$2:$E$277,A46)</f>
        <v>10</v>
      </c>
      <c r="C46" s="15">
        <f>COUNTIFS(Checklist!$E$2:$E$277,A46,Checklist!$J$2:$J$277,"Pass")</f>
        <v>0</v>
      </c>
      <c r="D46" s="15">
        <f>COUNTIFS(Checklist!$E$2:$E$277,A46,Checklist!$J$2:$J$277,"Fail")</f>
        <v>0</v>
      </c>
      <c r="E46" s="15">
        <f>COUNTIFS(Checklist!$E$2:$E$277,A46,Checklist!$J$2:$J$277,"Blocked")</f>
        <v>0</v>
      </c>
      <c r="F46" s="15">
        <f>COUNTIFS(Checklist!$E$2:$E$277,A46,Checklist!$J$2:$J$277,"N/A")</f>
        <v>0</v>
      </c>
      <c r="G46" s="15">
        <f t="shared" si="3"/>
        <v>10</v>
      </c>
      <c r="H46" s="16">
        <f t="shared" si="4"/>
        <v>0</v>
      </c>
    </row>
    <row r="47" spans="1:8" x14ac:dyDescent="0.35">
      <c r="A47" s="14" t="s">
        <v>84</v>
      </c>
      <c r="B47" s="15">
        <f>COUNTIF(Checklist!$E$2:$E$277,A47)</f>
        <v>4</v>
      </c>
      <c r="C47" s="15">
        <f>COUNTIFS(Checklist!$E$2:$E$277,A47,Checklist!$J$2:$J$277,"Pass")</f>
        <v>0</v>
      </c>
      <c r="D47" s="15">
        <f>COUNTIFS(Checklist!$E$2:$E$277,A47,Checklist!$J$2:$J$277,"Fail")</f>
        <v>0</v>
      </c>
      <c r="E47" s="15">
        <f>COUNTIFS(Checklist!$E$2:$E$277,A47,Checklist!$J$2:$J$277,"Blocked")</f>
        <v>0</v>
      </c>
      <c r="F47" s="15">
        <f>COUNTIFS(Checklist!$E$2:$E$277,A47,Checklist!$J$2:$J$277,"N/A")</f>
        <v>0</v>
      </c>
      <c r="G47" s="15">
        <f t="shared" si="3"/>
        <v>4</v>
      </c>
      <c r="H47" s="16">
        <f t="shared" si="4"/>
        <v>0</v>
      </c>
    </row>
    <row r="48" spans="1:8" x14ac:dyDescent="0.35">
      <c r="A48" s="14" t="s">
        <v>85</v>
      </c>
      <c r="B48" s="15">
        <f>COUNTIF(Checklist!$E$2:$E$277,A48)</f>
        <v>1</v>
      </c>
      <c r="C48" s="15">
        <f>COUNTIFS(Checklist!$E$2:$E$277,A48,Checklist!$J$2:$J$277,"Pass")</f>
        <v>0</v>
      </c>
      <c r="D48" s="15">
        <f>COUNTIFS(Checklist!$E$2:$E$277,A48,Checklist!$J$2:$J$277,"Fail")</f>
        <v>0</v>
      </c>
      <c r="E48" s="15">
        <f>COUNTIFS(Checklist!$E$2:$E$277,A48,Checklist!$J$2:$J$277,"Blocked")</f>
        <v>0</v>
      </c>
      <c r="F48" s="15">
        <f>COUNTIFS(Checklist!$E$2:$E$277,A48,Checklist!$J$2:$J$277,"N/A")</f>
        <v>0</v>
      </c>
      <c r="G48" s="15">
        <f t="shared" si="3"/>
        <v>1</v>
      </c>
      <c r="H48" s="16">
        <f t="shared" si="4"/>
        <v>0</v>
      </c>
    </row>
    <row r="50" spans="1:2" x14ac:dyDescent="0.35">
      <c r="A50" s="4" t="s">
        <v>86</v>
      </c>
    </row>
    <row r="51" spans="1:2" x14ac:dyDescent="0.35">
      <c r="A51" s="6" t="s">
        <v>87</v>
      </c>
      <c r="B51" s="22">
        <f>COUNTIFS(Issues!$J$3:$J$152,"Must fix",Issues!$K$3:$K$152,"Open")</f>
        <v>0</v>
      </c>
    </row>
    <row r="52" spans="1:2" x14ac:dyDescent="0.35">
      <c r="A52" s="6" t="s">
        <v>88</v>
      </c>
      <c r="B52" s="22">
        <f>COUNTIF(Issues!$K$3:$K$152,"Open")</f>
        <v>0</v>
      </c>
    </row>
    <row r="53" spans="1:2" x14ac:dyDescent="0.35">
      <c r="A53" s="6" t="s">
        <v>89</v>
      </c>
      <c r="B53" s="22">
        <f>COUNTIF(Issues!$K$3:$K$152,"Fixed")+COUNTIF(Issues!$K$3:$K$152,"Retest")</f>
        <v>0</v>
      </c>
    </row>
  </sheetData>
  <pageMargins left="0.75" right="0.75" top="1" bottom="1" header="0.5" footer="0.5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77"/>
  <sheetViews>
    <sheetView zoomScale="90" workbookViewId="0">
      <pane xSplit="5" ySplit="1" topLeftCell="F200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8" customWidth="1"/>
    <col min="3" max="3" width="26" customWidth="1"/>
    <col min="4" max="4" width="15" customWidth="1"/>
    <col min="5" max="5" width="16" customWidth="1"/>
    <col min="6" max="6" width="58" customWidth="1"/>
    <col min="7" max="7" width="52" customWidth="1"/>
    <col min="8" max="8" width="26" customWidth="1"/>
    <col min="9" max="9" width="10" customWidth="1"/>
    <col min="10" max="11" width="11" customWidth="1"/>
    <col min="12" max="12" width="30" customWidth="1"/>
    <col min="13" max="13" width="10" customWidth="1"/>
  </cols>
  <sheetData>
    <row r="1" spans="1:13" ht="20" customHeight="1" x14ac:dyDescent="0.35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68</v>
      </c>
      <c r="F1" s="13" t="s">
        <v>94</v>
      </c>
      <c r="G1" s="13" t="s">
        <v>95</v>
      </c>
      <c r="H1" s="13" t="s">
        <v>96</v>
      </c>
      <c r="I1" s="13" t="s">
        <v>8</v>
      </c>
      <c r="J1" s="13" t="s">
        <v>97</v>
      </c>
      <c r="K1" s="13" t="s">
        <v>98</v>
      </c>
      <c r="L1" s="13" t="s">
        <v>99</v>
      </c>
      <c r="M1" s="13" t="s">
        <v>100</v>
      </c>
    </row>
    <row r="2" spans="1:13" ht="25" x14ac:dyDescent="0.35">
      <c r="A2" s="23" t="s">
        <v>101</v>
      </c>
      <c r="B2" s="24" t="s">
        <v>102</v>
      </c>
      <c r="C2" s="14" t="s">
        <v>45</v>
      </c>
      <c r="D2" s="14" t="s">
        <v>103</v>
      </c>
      <c r="E2" s="14" t="s">
        <v>69</v>
      </c>
      <c r="F2" s="14" t="s">
        <v>104</v>
      </c>
      <c r="G2" s="14" t="s">
        <v>105</v>
      </c>
      <c r="H2" s="14" t="s">
        <v>106</v>
      </c>
      <c r="I2" s="24" t="s">
        <v>63</v>
      </c>
      <c r="J2" s="25"/>
      <c r="K2" s="26"/>
      <c r="L2" s="27"/>
      <c r="M2" s="25"/>
    </row>
    <row r="3" spans="1:13" ht="25" x14ac:dyDescent="0.35">
      <c r="A3" s="23" t="s">
        <v>107</v>
      </c>
      <c r="B3" s="24" t="s">
        <v>102</v>
      </c>
      <c r="C3" s="14" t="s">
        <v>45</v>
      </c>
      <c r="D3" s="14" t="s">
        <v>103</v>
      </c>
      <c r="E3" s="14" t="s">
        <v>69</v>
      </c>
      <c r="F3" s="14" t="s">
        <v>108</v>
      </c>
      <c r="G3" s="14" t="s">
        <v>109</v>
      </c>
      <c r="H3" s="14" t="s">
        <v>110</v>
      </c>
      <c r="I3" s="24" t="s">
        <v>63</v>
      </c>
      <c r="J3" s="25"/>
      <c r="K3" s="26"/>
      <c r="L3" s="27"/>
      <c r="M3" s="25"/>
    </row>
    <row r="4" spans="1:13" ht="25" x14ac:dyDescent="0.35">
      <c r="A4" s="23" t="s">
        <v>111</v>
      </c>
      <c r="B4" s="24" t="s">
        <v>102</v>
      </c>
      <c r="C4" s="14" t="s">
        <v>45</v>
      </c>
      <c r="D4" s="14" t="s">
        <v>103</v>
      </c>
      <c r="E4" s="14" t="s">
        <v>69</v>
      </c>
      <c r="F4" s="14" t="s">
        <v>112</v>
      </c>
      <c r="G4" s="14" t="s">
        <v>113</v>
      </c>
      <c r="H4" s="14" t="s">
        <v>114</v>
      </c>
      <c r="I4" s="24" t="s">
        <v>64</v>
      </c>
      <c r="J4" s="25"/>
      <c r="K4" s="26"/>
      <c r="L4" s="27"/>
      <c r="M4" s="25"/>
    </row>
    <row r="5" spans="1:13" ht="25" x14ac:dyDescent="0.35">
      <c r="A5" s="23" t="s">
        <v>115</v>
      </c>
      <c r="B5" s="24" t="s">
        <v>102</v>
      </c>
      <c r="C5" s="14" t="s">
        <v>45</v>
      </c>
      <c r="D5" s="14" t="s">
        <v>103</v>
      </c>
      <c r="E5" s="14" t="s">
        <v>69</v>
      </c>
      <c r="F5" s="14" t="s">
        <v>116</v>
      </c>
      <c r="G5" s="14" t="s">
        <v>117</v>
      </c>
      <c r="H5" s="14" t="s">
        <v>118</v>
      </c>
      <c r="I5" s="24" t="s">
        <v>64</v>
      </c>
      <c r="J5" s="25"/>
      <c r="K5" s="26"/>
      <c r="L5" s="27"/>
      <c r="M5" s="25"/>
    </row>
    <row r="6" spans="1:13" ht="37.5" x14ac:dyDescent="0.35">
      <c r="A6" s="23" t="s">
        <v>119</v>
      </c>
      <c r="B6" s="24" t="s">
        <v>102</v>
      </c>
      <c r="C6" s="14" t="s">
        <v>45</v>
      </c>
      <c r="D6" s="14" t="s">
        <v>103</v>
      </c>
      <c r="E6" s="14" t="s">
        <v>69</v>
      </c>
      <c r="F6" s="14" t="s">
        <v>120</v>
      </c>
      <c r="G6" s="14" t="s">
        <v>121</v>
      </c>
      <c r="H6" s="14" t="s">
        <v>122</v>
      </c>
      <c r="I6" s="24" t="s">
        <v>63</v>
      </c>
      <c r="J6" s="25"/>
      <c r="K6" s="26"/>
      <c r="L6" s="27"/>
      <c r="M6" s="25"/>
    </row>
    <row r="7" spans="1:13" ht="25" x14ac:dyDescent="0.35">
      <c r="A7" s="23" t="s">
        <v>123</v>
      </c>
      <c r="B7" s="24" t="s">
        <v>102</v>
      </c>
      <c r="C7" s="14" t="s">
        <v>45</v>
      </c>
      <c r="D7" s="14" t="s">
        <v>103</v>
      </c>
      <c r="E7" s="14" t="s">
        <v>69</v>
      </c>
      <c r="F7" s="14" t="s">
        <v>124</v>
      </c>
      <c r="G7" s="14" t="s">
        <v>125</v>
      </c>
      <c r="H7" s="14" t="s">
        <v>126</v>
      </c>
      <c r="I7" s="24" t="s">
        <v>64</v>
      </c>
      <c r="J7" s="25"/>
      <c r="K7" s="26"/>
      <c r="L7" s="27"/>
      <c r="M7" s="25"/>
    </row>
    <row r="8" spans="1:13" ht="37.5" x14ac:dyDescent="0.35">
      <c r="A8" s="23" t="s">
        <v>127</v>
      </c>
      <c r="B8" s="24" t="s">
        <v>102</v>
      </c>
      <c r="C8" s="14" t="s">
        <v>45</v>
      </c>
      <c r="D8" s="14" t="s">
        <v>103</v>
      </c>
      <c r="E8" s="14" t="s">
        <v>69</v>
      </c>
      <c r="F8" s="14" t="s">
        <v>128</v>
      </c>
      <c r="G8" s="14" t="s">
        <v>129</v>
      </c>
      <c r="H8" s="14" t="s">
        <v>130</v>
      </c>
      <c r="I8" s="24" t="s">
        <v>64</v>
      </c>
      <c r="J8" s="25"/>
      <c r="K8" s="26"/>
      <c r="L8" s="27"/>
      <c r="M8" s="25"/>
    </row>
    <row r="9" spans="1:13" ht="25" x14ac:dyDescent="0.35">
      <c r="A9" s="23" t="s">
        <v>131</v>
      </c>
      <c r="B9" s="24" t="s">
        <v>102</v>
      </c>
      <c r="C9" s="14" t="s">
        <v>45</v>
      </c>
      <c r="D9" s="14" t="s">
        <v>103</v>
      </c>
      <c r="E9" s="14" t="s">
        <v>69</v>
      </c>
      <c r="F9" s="14" t="s">
        <v>132</v>
      </c>
      <c r="G9" s="14" t="s">
        <v>133</v>
      </c>
      <c r="H9" s="14" t="s">
        <v>134</v>
      </c>
      <c r="I9" s="24" t="s">
        <v>63</v>
      </c>
      <c r="J9" s="25"/>
      <c r="K9" s="26"/>
      <c r="L9" s="27"/>
      <c r="M9" s="25"/>
    </row>
    <row r="10" spans="1:13" ht="25" x14ac:dyDescent="0.35">
      <c r="A10" s="23" t="s">
        <v>135</v>
      </c>
      <c r="B10" s="24" t="s">
        <v>102</v>
      </c>
      <c r="C10" s="14" t="s">
        <v>45</v>
      </c>
      <c r="D10" s="14" t="s">
        <v>103</v>
      </c>
      <c r="E10" s="14" t="s">
        <v>69</v>
      </c>
      <c r="F10" s="14" t="s">
        <v>136</v>
      </c>
      <c r="G10" s="14" t="s">
        <v>137</v>
      </c>
      <c r="H10" s="14" t="s">
        <v>138</v>
      </c>
      <c r="I10" s="24" t="s">
        <v>65</v>
      </c>
      <c r="J10" s="25"/>
      <c r="K10" s="26"/>
      <c r="L10" s="27"/>
      <c r="M10" s="25"/>
    </row>
    <row r="11" spans="1:13" ht="25" x14ac:dyDescent="0.35">
      <c r="A11" s="23" t="s">
        <v>139</v>
      </c>
      <c r="B11" s="24" t="s">
        <v>102</v>
      </c>
      <c r="C11" s="14" t="s">
        <v>45</v>
      </c>
      <c r="D11" s="14" t="s">
        <v>103</v>
      </c>
      <c r="E11" s="14" t="s">
        <v>69</v>
      </c>
      <c r="F11" s="14" t="s">
        <v>140</v>
      </c>
      <c r="G11" s="14" t="s">
        <v>141</v>
      </c>
      <c r="H11" s="14" t="s">
        <v>142</v>
      </c>
      <c r="I11" s="24" t="s">
        <v>65</v>
      </c>
      <c r="J11" s="25"/>
      <c r="K11" s="26"/>
      <c r="L11" s="27"/>
      <c r="M11" s="25"/>
    </row>
    <row r="12" spans="1:13" ht="25" x14ac:dyDescent="0.35">
      <c r="A12" s="23" t="s">
        <v>143</v>
      </c>
      <c r="B12" s="24" t="s">
        <v>102</v>
      </c>
      <c r="C12" s="14" t="s">
        <v>45</v>
      </c>
      <c r="D12" s="14" t="s">
        <v>103</v>
      </c>
      <c r="E12" s="14" t="s">
        <v>69</v>
      </c>
      <c r="F12" s="14" t="s">
        <v>144</v>
      </c>
      <c r="G12" s="14" t="s">
        <v>145</v>
      </c>
      <c r="H12" s="14" t="s">
        <v>146</v>
      </c>
      <c r="I12" s="24" t="s">
        <v>65</v>
      </c>
      <c r="J12" s="25"/>
      <c r="K12" s="26"/>
      <c r="L12" s="27"/>
      <c r="M12" s="25"/>
    </row>
    <row r="13" spans="1:13" ht="25" x14ac:dyDescent="0.35">
      <c r="A13" s="23" t="s">
        <v>147</v>
      </c>
      <c r="B13" s="24" t="s">
        <v>102</v>
      </c>
      <c r="C13" s="14" t="s">
        <v>45</v>
      </c>
      <c r="D13" s="14" t="s">
        <v>148</v>
      </c>
      <c r="E13" s="14" t="s">
        <v>70</v>
      </c>
      <c r="F13" s="14" t="s">
        <v>149</v>
      </c>
      <c r="G13" s="14" t="s">
        <v>150</v>
      </c>
      <c r="H13" s="14" t="s">
        <v>151</v>
      </c>
      <c r="I13" s="24" t="s">
        <v>63</v>
      </c>
      <c r="J13" s="25"/>
      <c r="K13" s="26"/>
      <c r="L13" s="27"/>
      <c r="M13" s="25"/>
    </row>
    <row r="14" spans="1:13" x14ac:dyDescent="0.35">
      <c r="A14" s="23" t="s">
        <v>152</v>
      </c>
      <c r="B14" s="24" t="s">
        <v>102</v>
      </c>
      <c r="C14" s="14" t="s">
        <v>45</v>
      </c>
      <c r="D14" s="14" t="s">
        <v>148</v>
      </c>
      <c r="E14" s="14" t="s">
        <v>70</v>
      </c>
      <c r="F14" s="14" t="s">
        <v>153</v>
      </c>
      <c r="G14" s="14" t="s">
        <v>154</v>
      </c>
      <c r="H14" s="14" t="s">
        <v>151</v>
      </c>
      <c r="I14" s="24" t="s">
        <v>64</v>
      </c>
      <c r="J14" s="25"/>
      <c r="K14" s="26"/>
      <c r="L14" s="27"/>
      <c r="M14" s="25"/>
    </row>
    <row r="15" spans="1:13" ht="25" x14ac:dyDescent="0.35">
      <c r="A15" s="23" t="s">
        <v>155</v>
      </c>
      <c r="B15" s="24" t="s">
        <v>102</v>
      </c>
      <c r="C15" s="14" t="s">
        <v>45</v>
      </c>
      <c r="D15" s="14" t="s">
        <v>156</v>
      </c>
      <c r="E15" s="14" t="s">
        <v>70</v>
      </c>
      <c r="F15" s="14" t="s">
        <v>157</v>
      </c>
      <c r="G15" s="14" t="s">
        <v>158</v>
      </c>
      <c r="H15" s="14" t="s">
        <v>159</v>
      </c>
      <c r="I15" s="24" t="s">
        <v>64</v>
      </c>
      <c r="J15" s="25"/>
      <c r="K15" s="26"/>
      <c r="L15" s="27"/>
      <c r="M15" s="25"/>
    </row>
    <row r="16" spans="1:13" ht="25" x14ac:dyDescent="0.35">
      <c r="A16" s="23" t="s">
        <v>160</v>
      </c>
      <c r="B16" s="24" t="s">
        <v>102</v>
      </c>
      <c r="C16" s="14" t="s">
        <v>45</v>
      </c>
      <c r="D16" s="14" t="s">
        <v>161</v>
      </c>
      <c r="E16" s="14" t="s">
        <v>70</v>
      </c>
      <c r="F16" s="14" t="s">
        <v>162</v>
      </c>
      <c r="G16" s="14" t="s">
        <v>163</v>
      </c>
      <c r="H16" s="14" t="s">
        <v>164</v>
      </c>
      <c r="I16" s="24" t="s">
        <v>64</v>
      </c>
      <c r="J16" s="25"/>
      <c r="K16" s="26"/>
      <c r="L16" s="27"/>
      <c r="M16" s="25"/>
    </row>
    <row r="17" spans="1:13" x14ac:dyDescent="0.35">
      <c r="A17" s="23" t="s">
        <v>165</v>
      </c>
      <c r="B17" s="24" t="s">
        <v>102</v>
      </c>
      <c r="C17" s="14" t="s">
        <v>45</v>
      </c>
      <c r="D17" s="14" t="s">
        <v>166</v>
      </c>
      <c r="E17" s="14" t="s">
        <v>70</v>
      </c>
      <c r="F17" s="14" t="s">
        <v>167</v>
      </c>
      <c r="G17" s="14" t="s">
        <v>168</v>
      </c>
      <c r="H17" s="14" t="s">
        <v>164</v>
      </c>
      <c r="I17" s="24" t="s">
        <v>65</v>
      </c>
      <c r="J17" s="25"/>
      <c r="K17" s="26"/>
      <c r="L17" s="27"/>
      <c r="M17" s="25"/>
    </row>
    <row r="18" spans="1:13" x14ac:dyDescent="0.35">
      <c r="A18" s="23" t="s">
        <v>169</v>
      </c>
      <c r="B18" s="24" t="s">
        <v>102</v>
      </c>
      <c r="C18" s="14" t="s">
        <v>45</v>
      </c>
      <c r="D18" s="14" t="s">
        <v>170</v>
      </c>
      <c r="E18" s="14" t="s">
        <v>69</v>
      </c>
      <c r="F18" s="14" t="s">
        <v>171</v>
      </c>
      <c r="G18" s="14" t="s">
        <v>172</v>
      </c>
      <c r="H18" s="14" t="s">
        <v>164</v>
      </c>
      <c r="I18" s="24" t="s">
        <v>64</v>
      </c>
      <c r="J18" s="25"/>
      <c r="K18" s="26"/>
      <c r="L18" s="27"/>
      <c r="M18" s="25"/>
    </row>
    <row r="19" spans="1:13" ht="25" x14ac:dyDescent="0.35">
      <c r="A19" s="23" t="s">
        <v>173</v>
      </c>
      <c r="B19" s="24" t="s">
        <v>102</v>
      </c>
      <c r="C19" s="14" t="s">
        <v>46</v>
      </c>
      <c r="D19" s="14" t="s">
        <v>174</v>
      </c>
      <c r="E19" s="14" t="s">
        <v>71</v>
      </c>
      <c r="F19" s="14" t="s">
        <v>175</v>
      </c>
      <c r="G19" s="14" t="s">
        <v>176</v>
      </c>
      <c r="H19" s="14" t="s">
        <v>174</v>
      </c>
      <c r="I19" s="24" t="s">
        <v>63</v>
      </c>
      <c r="J19" s="25"/>
      <c r="K19" s="26"/>
      <c r="L19" s="27"/>
      <c r="M19" s="25"/>
    </row>
    <row r="20" spans="1:13" ht="25" x14ac:dyDescent="0.35">
      <c r="A20" s="23" t="s">
        <v>177</v>
      </c>
      <c r="B20" s="24" t="s">
        <v>102</v>
      </c>
      <c r="C20" s="14" t="s">
        <v>46</v>
      </c>
      <c r="D20" s="14" t="s">
        <v>178</v>
      </c>
      <c r="E20" s="14" t="s">
        <v>71</v>
      </c>
      <c r="F20" s="14" t="s">
        <v>179</v>
      </c>
      <c r="G20" s="14" t="s">
        <v>180</v>
      </c>
      <c r="H20" s="14" t="s">
        <v>181</v>
      </c>
      <c r="I20" s="24" t="s">
        <v>63</v>
      </c>
      <c r="J20" s="25"/>
      <c r="K20" s="26"/>
      <c r="L20" s="27"/>
      <c r="M20" s="25"/>
    </row>
    <row r="21" spans="1:13" ht="25" x14ac:dyDescent="0.35">
      <c r="A21" s="23" t="s">
        <v>182</v>
      </c>
      <c r="B21" s="24" t="s">
        <v>102</v>
      </c>
      <c r="C21" s="14" t="s">
        <v>46</v>
      </c>
      <c r="D21" s="14" t="s">
        <v>178</v>
      </c>
      <c r="E21" s="14" t="s">
        <v>71</v>
      </c>
      <c r="F21" s="14" t="s">
        <v>183</v>
      </c>
      <c r="G21" s="14" t="s">
        <v>184</v>
      </c>
      <c r="H21" s="14" t="s">
        <v>185</v>
      </c>
      <c r="I21" s="24" t="s">
        <v>64</v>
      </c>
      <c r="J21" s="25"/>
      <c r="K21" s="26"/>
      <c r="L21" s="27"/>
      <c r="M21" s="25"/>
    </row>
    <row r="22" spans="1:13" ht="25" x14ac:dyDescent="0.35">
      <c r="A22" s="23" t="s">
        <v>186</v>
      </c>
      <c r="B22" s="24" t="s">
        <v>102</v>
      </c>
      <c r="C22" s="14" t="s">
        <v>46</v>
      </c>
      <c r="D22" s="14" t="s">
        <v>187</v>
      </c>
      <c r="E22" s="14" t="s">
        <v>71</v>
      </c>
      <c r="F22" s="14" t="s">
        <v>188</v>
      </c>
      <c r="G22" s="14" t="s">
        <v>189</v>
      </c>
      <c r="H22" s="14" t="s">
        <v>190</v>
      </c>
      <c r="I22" s="24" t="s">
        <v>63</v>
      </c>
      <c r="J22" s="25"/>
      <c r="K22" s="26"/>
      <c r="L22" s="27"/>
      <c r="M22" s="25"/>
    </row>
    <row r="23" spans="1:13" ht="25" x14ac:dyDescent="0.35">
      <c r="A23" s="23" t="s">
        <v>191</v>
      </c>
      <c r="B23" s="24" t="s">
        <v>102</v>
      </c>
      <c r="C23" s="14" t="s">
        <v>46</v>
      </c>
      <c r="D23" s="14" t="s">
        <v>187</v>
      </c>
      <c r="E23" s="14" t="s">
        <v>69</v>
      </c>
      <c r="F23" s="14" t="s">
        <v>192</v>
      </c>
      <c r="G23" s="14" t="s">
        <v>193</v>
      </c>
      <c r="H23" s="14" t="s">
        <v>194</v>
      </c>
      <c r="I23" s="24" t="s">
        <v>63</v>
      </c>
      <c r="J23" s="25"/>
      <c r="K23" s="26"/>
      <c r="L23" s="27"/>
      <c r="M23" s="25"/>
    </row>
    <row r="24" spans="1:13" ht="25" x14ac:dyDescent="0.35">
      <c r="A24" s="23" t="s">
        <v>195</v>
      </c>
      <c r="B24" s="24" t="s">
        <v>102</v>
      </c>
      <c r="C24" s="14" t="s">
        <v>46</v>
      </c>
      <c r="D24" s="14" t="s">
        <v>196</v>
      </c>
      <c r="E24" s="14" t="s">
        <v>72</v>
      </c>
      <c r="F24" s="14" t="s">
        <v>197</v>
      </c>
      <c r="G24" s="14" t="s">
        <v>198</v>
      </c>
      <c r="H24" s="14" t="s">
        <v>199</v>
      </c>
      <c r="I24" s="24" t="s">
        <v>63</v>
      </c>
      <c r="J24" s="25"/>
      <c r="K24" s="26"/>
      <c r="L24" s="27"/>
      <c r="M24" s="25"/>
    </row>
    <row r="25" spans="1:13" ht="25" x14ac:dyDescent="0.35">
      <c r="A25" s="23" t="s">
        <v>200</v>
      </c>
      <c r="B25" s="24" t="s">
        <v>102</v>
      </c>
      <c r="C25" s="14" t="s">
        <v>46</v>
      </c>
      <c r="D25" s="14" t="s">
        <v>196</v>
      </c>
      <c r="E25" s="14" t="s">
        <v>72</v>
      </c>
      <c r="F25" s="14" t="s">
        <v>201</v>
      </c>
      <c r="G25" s="14" t="s">
        <v>202</v>
      </c>
      <c r="H25" s="14" t="s">
        <v>196</v>
      </c>
      <c r="I25" s="24" t="s">
        <v>64</v>
      </c>
      <c r="J25" s="25"/>
      <c r="K25" s="26"/>
      <c r="L25" s="27"/>
      <c r="M25" s="25"/>
    </row>
    <row r="26" spans="1:13" ht="25" x14ac:dyDescent="0.35">
      <c r="A26" s="23" t="s">
        <v>203</v>
      </c>
      <c r="B26" s="24" t="s">
        <v>102</v>
      </c>
      <c r="C26" s="14" t="s">
        <v>46</v>
      </c>
      <c r="D26" s="14" t="s">
        <v>196</v>
      </c>
      <c r="E26" s="14" t="s">
        <v>72</v>
      </c>
      <c r="F26" s="14" t="s">
        <v>204</v>
      </c>
      <c r="G26" s="14" t="s">
        <v>205</v>
      </c>
      <c r="H26" s="14" t="s">
        <v>206</v>
      </c>
      <c r="I26" s="24" t="s">
        <v>63</v>
      </c>
      <c r="J26" s="25"/>
      <c r="K26" s="26"/>
      <c r="L26" s="27"/>
      <c r="M26" s="25"/>
    </row>
    <row r="27" spans="1:13" ht="25" x14ac:dyDescent="0.35">
      <c r="A27" s="23" t="s">
        <v>207</v>
      </c>
      <c r="B27" s="24" t="s">
        <v>102</v>
      </c>
      <c r="C27" s="14" t="s">
        <v>46</v>
      </c>
      <c r="D27" s="14" t="s">
        <v>208</v>
      </c>
      <c r="E27" s="14" t="s">
        <v>71</v>
      </c>
      <c r="F27" s="14" t="s">
        <v>209</v>
      </c>
      <c r="G27" s="14" t="s">
        <v>210</v>
      </c>
      <c r="H27" s="14" t="s">
        <v>211</v>
      </c>
      <c r="I27" s="24" t="s">
        <v>64</v>
      </c>
      <c r="J27" s="25"/>
      <c r="K27" s="26"/>
      <c r="L27" s="27"/>
      <c r="M27" s="25"/>
    </row>
    <row r="28" spans="1:13" ht="25" x14ac:dyDescent="0.35">
      <c r="A28" s="23" t="s">
        <v>212</v>
      </c>
      <c r="B28" s="24" t="s">
        <v>102</v>
      </c>
      <c r="C28" s="14" t="s">
        <v>46</v>
      </c>
      <c r="D28" s="14" t="s">
        <v>208</v>
      </c>
      <c r="E28" s="14" t="s">
        <v>73</v>
      </c>
      <c r="F28" s="14" t="s">
        <v>213</v>
      </c>
      <c r="G28" s="14" t="s">
        <v>214</v>
      </c>
      <c r="H28" s="14" t="s">
        <v>215</v>
      </c>
      <c r="I28" s="24" t="s">
        <v>63</v>
      </c>
      <c r="J28" s="25"/>
      <c r="K28" s="26"/>
      <c r="L28" s="27"/>
      <c r="M28" s="25"/>
    </row>
    <row r="29" spans="1:13" ht="25" x14ac:dyDescent="0.35">
      <c r="A29" s="23" t="s">
        <v>216</v>
      </c>
      <c r="B29" s="24" t="s">
        <v>102</v>
      </c>
      <c r="C29" s="14" t="s">
        <v>46</v>
      </c>
      <c r="D29" s="14" t="s">
        <v>217</v>
      </c>
      <c r="E29" s="14" t="s">
        <v>71</v>
      </c>
      <c r="F29" s="14" t="s">
        <v>218</v>
      </c>
      <c r="G29" s="14" t="s">
        <v>219</v>
      </c>
      <c r="H29" s="14" t="s">
        <v>220</v>
      </c>
      <c r="I29" s="24" t="s">
        <v>63</v>
      </c>
      <c r="J29" s="25"/>
      <c r="K29" s="26"/>
      <c r="L29" s="27"/>
      <c r="M29" s="25"/>
    </row>
    <row r="30" spans="1:13" ht="25" x14ac:dyDescent="0.35">
      <c r="A30" s="23" t="s">
        <v>221</v>
      </c>
      <c r="B30" s="24" t="s">
        <v>102</v>
      </c>
      <c r="C30" s="14" t="s">
        <v>46</v>
      </c>
      <c r="D30" s="14" t="s">
        <v>217</v>
      </c>
      <c r="E30" s="14" t="s">
        <v>74</v>
      </c>
      <c r="F30" s="14" t="s">
        <v>222</v>
      </c>
      <c r="G30" s="14" t="s">
        <v>223</v>
      </c>
      <c r="H30" s="14" t="s">
        <v>224</v>
      </c>
      <c r="I30" s="24" t="s">
        <v>63</v>
      </c>
      <c r="J30" s="25"/>
      <c r="K30" s="26"/>
      <c r="L30" s="27"/>
      <c r="M30" s="25"/>
    </row>
    <row r="31" spans="1:13" ht="25" x14ac:dyDescent="0.35">
      <c r="A31" s="23" t="s">
        <v>225</v>
      </c>
      <c r="B31" s="24" t="s">
        <v>102</v>
      </c>
      <c r="C31" s="14" t="s">
        <v>46</v>
      </c>
      <c r="D31" s="14" t="s">
        <v>217</v>
      </c>
      <c r="E31" s="14" t="s">
        <v>71</v>
      </c>
      <c r="F31" s="14" t="s">
        <v>226</v>
      </c>
      <c r="G31" s="14" t="s">
        <v>227</v>
      </c>
      <c r="H31" s="14" t="s">
        <v>228</v>
      </c>
      <c r="I31" s="24" t="s">
        <v>64</v>
      </c>
      <c r="J31" s="25"/>
      <c r="K31" s="26"/>
      <c r="L31" s="27"/>
      <c r="M31" s="25"/>
    </row>
    <row r="32" spans="1:13" ht="25" x14ac:dyDescent="0.35">
      <c r="A32" s="23" t="s">
        <v>229</v>
      </c>
      <c r="B32" s="24" t="s">
        <v>102</v>
      </c>
      <c r="C32" s="14" t="s">
        <v>46</v>
      </c>
      <c r="D32" s="14" t="s">
        <v>230</v>
      </c>
      <c r="E32" s="14" t="s">
        <v>73</v>
      </c>
      <c r="F32" s="14" t="s">
        <v>231</v>
      </c>
      <c r="G32" s="14" t="s">
        <v>232</v>
      </c>
      <c r="H32" s="14" t="s">
        <v>233</v>
      </c>
      <c r="I32" s="24" t="s">
        <v>63</v>
      </c>
      <c r="J32" s="25"/>
      <c r="K32" s="26"/>
      <c r="L32" s="27"/>
      <c r="M32" s="25"/>
    </row>
    <row r="33" spans="1:13" ht="25" x14ac:dyDescent="0.35">
      <c r="A33" s="23" t="s">
        <v>234</v>
      </c>
      <c r="B33" s="24" t="s">
        <v>102</v>
      </c>
      <c r="C33" s="14" t="s">
        <v>46</v>
      </c>
      <c r="D33" s="14" t="s">
        <v>230</v>
      </c>
      <c r="E33" s="14" t="s">
        <v>72</v>
      </c>
      <c r="F33" s="14" t="s">
        <v>235</v>
      </c>
      <c r="G33" s="14" t="s">
        <v>236</v>
      </c>
      <c r="H33" s="14" t="s">
        <v>206</v>
      </c>
      <c r="I33" s="24" t="s">
        <v>63</v>
      </c>
      <c r="J33" s="25"/>
      <c r="K33" s="26"/>
      <c r="L33" s="27"/>
      <c r="M33" s="25"/>
    </row>
    <row r="34" spans="1:13" ht="25" x14ac:dyDescent="0.35">
      <c r="A34" s="23" t="s">
        <v>237</v>
      </c>
      <c r="B34" s="24" t="s">
        <v>102</v>
      </c>
      <c r="C34" s="14" t="s">
        <v>46</v>
      </c>
      <c r="D34" s="14" t="s">
        <v>196</v>
      </c>
      <c r="E34" s="14" t="s">
        <v>72</v>
      </c>
      <c r="F34" s="14" t="s">
        <v>238</v>
      </c>
      <c r="G34" s="14" t="s">
        <v>239</v>
      </c>
      <c r="H34" s="14" t="s">
        <v>196</v>
      </c>
      <c r="I34" s="24" t="s">
        <v>64</v>
      </c>
      <c r="J34" s="25"/>
      <c r="K34" s="26"/>
      <c r="L34" s="27"/>
      <c r="M34" s="25"/>
    </row>
    <row r="35" spans="1:13" ht="25" x14ac:dyDescent="0.35">
      <c r="A35" s="23" t="s">
        <v>240</v>
      </c>
      <c r="B35" s="24" t="s">
        <v>102</v>
      </c>
      <c r="C35" s="14" t="s">
        <v>46</v>
      </c>
      <c r="D35" s="14" t="s">
        <v>196</v>
      </c>
      <c r="E35" s="14" t="s">
        <v>72</v>
      </c>
      <c r="F35" s="14" t="s">
        <v>241</v>
      </c>
      <c r="G35" s="14" t="s">
        <v>242</v>
      </c>
      <c r="H35" s="14" t="s">
        <v>243</v>
      </c>
      <c r="I35" s="24" t="s">
        <v>65</v>
      </c>
      <c r="J35" s="25"/>
      <c r="K35" s="26"/>
      <c r="L35" s="27"/>
      <c r="M35" s="25"/>
    </row>
    <row r="36" spans="1:13" ht="25" x14ac:dyDescent="0.35">
      <c r="A36" s="23" t="s">
        <v>244</v>
      </c>
      <c r="B36" s="24" t="s">
        <v>102</v>
      </c>
      <c r="C36" s="14" t="s">
        <v>46</v>
      </c>
      <c r="D36" s="14" t="s">
        <v>187</v>
      </c>
      <c r="E36" s="14" t="s">
        <v>71</v>
      </c>
      <c r="F36" s="14" t="s">
        <v>245</v>
      </c>
      <c r="G36" s="14" t="s">
        <v>246</v>
      </c>
      <c r="H36" s="14" t="s">
        <v>178</v>
      </c>
      <c r="I36" s="24" t="s">
        <v>64</v>
      </c>
      <c r="J36" s="25"/>
      <c r="K36" s="26"/>
      <c r="L36" s="27"/>
      <c r="M36" s="25"/>
    </row>
    <row r="37" spans="1:13" ht="25" x14ac:dyDescent="0.35">
      <c r="A37" s="23" t="s">
        <v>247</v>
      </c>
      <c r="B37" s="24" t="s">
        <v>102</v>
      </c>
      <c r="C37" s="14" t="s">
        <v>46</v>
      </c>
      <c r="D37" s="14" t="s">
        <v>187</v>
      </c>
      <c r="E37" s="14" t="s">
        <v>75</v>
      </c>
      <c r="F37" s="14" t="s">
        <v>248</v>
      </c>
      <c r="G37" s="14" t="s">
        <v>249</v>
      </c>
      <c r="H37" s="14" t="s">
        <v>250</v>
      </c>
      <c r="I37" s="24" t="s">
        <v>64</v>
      </c>
      <c r="J37" s="25"/>
      <c r="K37" s="26"/>
      <c r="L37" s="27"/>
      <c r="M37" s="25"/>
    </row>
    <row r="38" spans="1:13" ht="25" x14ac:dyDescent="0.35">
      <c r="A38" s="23" t="s">
        <v>251</v>
      </c>
      <c r="B38" s="24" t="s">
        <v>102</v>
      </c>
      <c r="C38" s="14" t="s">
        <v>46</v>
      </c>
      <c r="D38" s="14" t="s">
        <v>252</v>
      </c>
      <c r="E38" s="14" t="s">
        <v>74</v>
      </c>
      <c r="F38" s="14" t="s">
        <v>253</v>
      </c>
      <c r="G38" s="14" t="s">
        <v>254</v>
      </c>
      <c r="H38" s="14" t="s">
        <v>255</v>
      </c>
      <c r="I38" s="24" t="s">
        <v>65</v>
      </c>
      <c r="J38" s="25"/>
      <c r="K38" s="26"/>
      <c r="L38" s="27"/>
      <c r="M38" s="25"/>
    </row>
    <row r="39" spans="1:13" ht="25" x14ac:dyDescent="0.35">
      <c r="A39" s="23" t="s">
        <v>256</v>
      </c>
      <c r="B39" s="24" t="s">
        <v>102</v>
      </c>
      <c r="C39" s="14" t="s">
        <v>46</v>
      </c>
      <c r="D39" s="14" t="s">
        <v>257</v>
      </c>
      <c r="E39" s="14" t="s">
        <v>76</v>
      </c>
      <c r="F39" s="14" t="s">
        <v>258</v>
      </c>
      <c r="G39" s="14" t="s">
        <v>259</v>
      </c>
      <c r="H39" s="14" t="s">
        <v>260</v>
      </c>
      <c r="I39" s="24" t="s">
        <v>63</v>
      </c>
      <c r="J39" s="25"/>
      <c r="K39" s="26"/>
      <c r="L39" s="27"/>
      <c r="M39" s="25"/>
    </row>
    <row r="40" spans="1:13" ht="25" x14ac:dyDescent="0.35">
      <c r="A40" s="23" t="s">
        <v>261</v>
      </c>
      <c r="B40" s="24" t="s">
        <v>102</v>
      </c>
      <c r="C40" s="14" t="s">
        <v>46</v>
      </c>
      <c r="D40" s="14" t="s">
        <v>257</v>
      </c>
      <c r="E40" s="14" t="s">
        <v>76</v>
      </c>
      <c r="F40" s="14" t="s">
        <v>262</v>
      </c>
      <c r="G40" s="14" t="s">
        <v>263</v>
      </c>
      <c r="H40" s="14" t="s">
        <v>264</v>
      </c>
      <c r="I40" s="24" t="s">
        <v>63</v>
      </c>
      <c r="J40" s="25"/>
      <c r="K40" s="26"/>
      <c r="L40" s="27"/>
      <c r="M40" s="25"/>
    </row>
    <row r="41" spans="1:13" ht="25" x14ac:dyDescent="0.35">
      <c r="A41" s="23" t="s">
        <v>265</v>
      </c>
      <c r="B41" s="24" t="s">
        <v>102</v>
      </c>
      <c r="C41" s="14" t="s">
        <v>46</v>
      </c>
      <c r="D41" s="14" t="s">
        <v>257</v>
      </c>
      <c r="E41" s="14" t="s">
        <v>74</v>
      </c>
      <c r="F41" s="14" t="s">
        <v>266</v>
      </c>
      <c r="G41" s="14" t="s">
        <v>267</v>
      </c>
      <c r="H41" s="14" t="s">
        <v>268</v>
      </c>
      <c r="I41" s="24" t="s">
        <v>64</v>
      </c>
      <c r="J41" s="25"/>
      <c r="K41" s="26"/>
      <c r="L41" s="27"/>
      <c r="M41" s="25"/>
    </row>
    <row r="42" spans="1:13" ht="25" x14ac:dyDescent="0.35">
      <c r="A42" s="23" t="s">
        <v>269</v>
      </c>
      <c r="B42" s="24" t="s">
        <v>102</v>
      </c>
      <c r="C42" s="14" t="s">
        <v>46</v>
      </c>
      <c r="D42" s="14" t="s">
        <v>257</v>
      </c>
      <c r="E42" s="14" t="s">
        <v>76</v>
      </c>
      <c r="F42" s="14" t="s">
        <v>270</v>
      </c>
      <c r="G42" s="14" t="s">
        <v>271</v>
      </c>
      <c r="H42" s="14" t="s">
        <v>272</v>
      </c>
      <c r="I42" s="24" t="s">
        <v>64</v>
      </c>
      <c r="J42" s="25"/>
      <c r="K42" s="26"/>
      <c r="L42" s="27"/>
      <c r="M42" s="25"/>
    </row>
    <row r="43" spans="1:13" ht="25" x14ac:dyDescent="0.35">
      <c r="A43" s="23" t="s">
        <v>273</v>
      </c>
      <c r="B43" s="24" t="s">
        <v>102</v>
      </c>
      <c r="C43" s="14" t="s">
        <v>46</v>
      </c>
      <c r="D43" s="14" t="s">
        <v>257</v>
      </c>
      <c r="E43" s="14" t="s">
        <v>76</v>
      </c>
      <c r="F43" s="14" t="s">
        <v>274</v>
      </c>
      <c r="G43" s="14" t="s">
        <v>275</v>
      </c>
      <c r="H43" s="14" t="s">
        <v>276</v>
      </c>
      <c r="I43" s="24" t="s">
        <v>63</v>
      </c>
      <c r="J43" s="25"/>
      <c r="K43" s="26"/>
      <c r="L43" s="27"/>
      <c r="M43" s="25"/>
    </row>
    <row r="44" spans="1:13" ht="25" x14ac:dyDescent="0.35">
      <c r="A44" s="23" t="s">
        <v>277</v>
      </c>
      <c r="B44" s="24" t="s">
        <v>102</v>
      </c>
      <c r="C44" s="14" t="s">
        <v>46</v>
      </c>
      <c r="D44" s="14" t="s">
        <v>257</v>
      </c>
      <c r="E44" s="14" t="s">
        <v>71</v>
      </c>
      <c r="F44" s="14" t="s">
        <v>278</v>
      </c>
      <c r="G44" s="14" t="s">
        <v>279</v>
      </c>
      <c r="H44" s="14" t="s">
        <v>260</v>
      </c>
      <c r="I44" s="24" t="s">
        <v>63</v>
      </c>
      <c r="J44" s="25"/>
      <c r="K44" s="26"/>
      <c r="L44" s="27"/>
      <c r="M44" s="25"/>
    </row>
    <row r="45" spans="1:13" ht="25" x14ac:dyDescent="0.35">
      <c r="A45" s="23" t="s">
        <v>280</v>
      </c>
      <c r="B45" s="24" t="s">
        <v>102</v>
      </c>
      <c r="C45" s="14" t="s">
        <v>46</v>
      </c>
      <c r="D45" s="14" t="s">
        <v>281</v>
      </c>
      <c r="E45" s="14" t="s">
        <v>74</v>
      </c>
      <c r="F45" s="14" t="s">
        <v>282</v>
      </c>
      <c r="G45" s="14" t="s">
        <v>283</v>
      </c>
      <c r="H45" s="14" t="s">
        <v>255</v>
      </c>
      <c r="I45" s="24" t="s">
        <v>65</v>
      </c>
      <c r="J45" s="25"/>
      <c r="K45" s="26"/>
      <c r="L45" s="27"/>
      <c r="M45" s="25"/>
    </row>
    <row r="46" spans="1:13" ht="25" x14ac:dyDescent="0.35">
      <c r="A46" s="23" t="s">
        <v>284</v>
      </c>
      <c r="B46" s="24" t="s">
        <v>102</v>
      </c>
      <c r="C46" s="14" t="s">
        <v>46</v>
      </c>
      <c r="D46" s="14" t="s">
        <v>285</v>
      </c>
      <c r="E46" s="14" t="s">
        <v>74</v>
      </c>
      <c r="F46" s="14" t="s">
        <v>286</v>
      </c>
      <c r="G46" s="14" t="s">
        <v>287</v>
      </c>
      <c r="H46" s="14" t="s">
        <v>288</v>
      </c>
      <c r="I46" s="24" t="s">
        <v>64</v>
      </c>
      <c r="J46" s="25"/>
      <c r="K46" s="26"/>
      <c r="L46" s="27"/>
      <c r="M46" s="25"/>
    </row>
    <row r="47" spans="1:13" ht="25" x14ac:dyDescent="0.35">
      <c r="A47" s="23" t="s">
        <v>289</v>
      </c>
      <c r="B47" s="24" t="s">
        <v>102</v>
      </c>
      <c r="C47" s="14" t="s">
        <v>46</v>
      </c>
      <c r="D47" s="14" t="s">
        <v>290</v>
      </c>
      <c r="E47" s="14" t="s">
        <v>74</v>
      </c>
      <c r="F47" s="14" t="s">
        <v>291</v>
      </c>
      <c r="G47" s="14" t="s">
        <v>292</v>
      </c>
      <c r="H47" s="14" t="s">
        <v>293</v>
      </c>
      <c r="I47" s="24" t="s">
        <v>65</v>
      </c>
      <c r="J47" s="25"/>
      <c r="K47" s="26"/>
      <c r="L47" s="27"/>
      <c r="M47" s="25"/>
    </row>
    <row r="48" spans="1:13" ht="25" x14ac:dyDescent="0.35">
      <c r="A48" s="23" t="s">
        <v>294</v>
      </c>
      <c r="B48" s="24" t="s">
        <v>295</v>
      </c>
      <c r="C48" s="14" t="s">
        <v>47</v>
      </c>
      <c r="D48" s="14" t="s">
        <v>296</v>
      </c>
      <c r="E48" s="14" t="s">
        <v>69</v>
      </c>
      <c r="F48" s="14" t="s">
        <v>297</v>
      </c>
      <c r="G48" s="14" t="s">
        <v>298</v>
      </c>
      <c r="H48" s="14" t="s">
        <v>134</v>
      </c>
      <c r="I48" s="24" t="s">
        <v>64</v>
      </c>
      <c r="J48" s="25"/>
      <c r="K48" s="26"/>
      <c r="L48" s="27"/>
      <c r="M48" s="25"/>
    </row>
    <row r="49" spans="1:13" ht="25" x14ac:dyDescent="0.35">
      <c r="A49" s="23" t="s">
        <v>299</v>
      </c>
      <c r="B49" s="24" t="s">
        <v>295</v>
      </c>
      <c r="C49" s="14" t="s">
        <v>47</v>
      </c>
      <c r="D49" s="14" t="s">
        <v>208</v>
      </c>
      <c r="E49" s="14" t="s">
        <v>73</v>
      </c>
      <c r="F49" s="14" t="s">
        <v>300</v>
      </c>
      <c r="G49" s="14" t="s">
        <v>301</v>
      </c>
      <c r="H49" s="14" t="s">
        <v>302</v>
      </c>
      <c r="I49" s="24" t="s">
        <v>64</v>
      </c>
      <c r="J49" s="25"/>
      <c r="K49" s="26"/>
      <c r="L49" s="27"/>
      <c r="M49" s="25"/>
    </row>
    <row r="50" spans="1:13" ht="25" x14ac:dyDescent="0.35">
      <c r="A50" s="23" t="s">
        <v>303</v>
      </c>
      <c r="B50" s="24" t="s">
        <v>295</v>
      </c>
      <c r="C50" s="14" t="s">
        <v>47</v>
      </c>
      <c r="D50" s="14" t="s">
        <v>257</v>
      </c>
      <c r="E50" s="14" t="s">
        <v>76</v>
      </c>
      <c r="F50" s="14" t="s">
        <v>304</v>
      </c>
      <c r="G50" s="14" t="s">
        <v>305</v>
      </c>
      <c r="H50" s="14" t="s">
        <v>306</v>
      </c>
      <c r="I50" s="24" t="s">
        <v>64</v>
      </c>
      <c r="J50" s="25"/>
      <c r="K50" s="26"/>
      <c r="L50" s="27"/>
      <c r="M50" s="25"/>
    </row>
    <row r="51" spans="1:13" ht="25" x14ac:dyDescent="0.35">
      <c r="A51" s="23" t="s">
        <v>307</v>
      </c>
      <c r="B51" s="24" t="s">
        <v>295</v>
      </c>
      <c r="C51" s="14" t="s">
        <v>47</v>
      </c>
      <c r="D51" s="14" t="s">
        <v>296</v>
      </c>
      <c r="E51" s="14" t="s">
        <v>69</v>
      </c>
      <c r="F51" s="14" t="s">
        <v>308</v>
      </c>
      <c r="G51" s="14" t="s">
        <v>309</v>
      </c>
      <c r="H51" s="14" t="s">
        <v>134</v>
      </c>
      <c r="I51" s="24" t="s">
        <v>64</v>
      </c>
      <c r="J51" s="25"/>
      <c r="K51" s="26"/>
      <c r="L51" s="27"/>
      <c r="M51" s="25"/>
    </row>
    <row r="52" spans="1:13" ht="25" x14ac:dyDescent="0.35">
      <c r="A52" s="23" t="s">
        <v>310</v>
      </c>
      <c r="B52" s="24" t="s">
        <v>295</v>
      </c>
      <c r="C52" s="14" t="s">
        <v>48</v>
      </c>
      <c r="D52" s="14" t="s">
        <v>178</v>
      </c>
      <c r="E52" s="14" t="s">
        <v>71</v>
      </c>
      <c r="F52" s="14" t="s">
        <v>311</v>
      </c>
      <c r="G52" s="14" t="s">
        <v>312</v>
      </c>
      <c r="H52" s="14" t="s">
        <v>181</v>
      </c>
      <c r="I52" s="24" t="s">
        <v>64</v>
      </c>
      <c r="J52" s="25"/>
      <c r="K52" s="26"/>
      <c r="L52" s="27"/>
      <c r="M52" s="25"/>
    </row>
    <row r="53" spans="1:13" ht="25" x14ac:dyDescent="0.35">
      <c r="A53" s="23" t="s">
        <v>313</v>
      </c>
      <c r="B53" s="24" t="s">
        <v>295</v>
      </c>
      <c r="C53" s="14" t="s">
        <v>48</v>
      </c>
      <c r="D53" s="14" t="s">
        <v>178</v>
      </c>
      <c r="E53" s="14" t="s">
        <v>71</v>
      </c>
      <c r="F53" s="14" t="s">
        <v>314</v>
      </c>
      <c r="G53" s="14" t="s">
        <v>315</v>
      </c>
      <c r="H53" s="14" t="s">
        <v>316</v>
      </c>
      <c r="I53" s="24" t="s">
        <v>64</v>
      </c>
      <c r="J53" s="25"/>
      <c r="K53" s="26"/>
      <c r="L53" s="27"/>
      <c r="M53" s="25"/>
    </row>
    <row r="54" spans="1:13" ht="25" x14ac:dyDescent="0.35">
      <c r="A54" s="23" t="s">
        <v>317</v>
      </c>
      <c r="B54" s="24" t="s">
        <v>295</v>
      </c>
      <c r="C54" s="14" t="s">
        <v>48</v>
      </c>
      <c r="D54" s="14" t="s">
        <v>178</v>
      </c>
      <c r="E54" s="14" t="s">
        <v>71</v>
      </c>
      <c r="F54" s="14" t="s">
        <v>318</v>
      </c>
      <c r="G54" s="14" t="s">
        <v>319</v>
      </c>
      <c r="H54" s="14" t="s">
        <v>320</v>
      </c>
      <c r="I54" s="24" t="s">
        <v>65</v>
      </c>
      <c r="J54" s="25"/>
      <c r="K54" s="26"/>
      <c r="L54" s="27"/>
      <c r="M54" s="25"/>
    </row>
    <row r="55" spans="1:13" ht="25" x14ac:dyDescent="0.35">
      <c r="A55" s="23" t="s">
        <v>321</v>
      </c>
      <c r="B55" s="24" t="s">
        <v>295</v>
      </c>
      <c r="C55" s="14" t="s">
        <v>48</v>
      </c>
      <c r="D55" s="14" t="s">
        <v>178</v>
      </c>
      <c r="E55" s="14" t="s">
        <v>71</v>
      </c>
      <c r="F55" s="14" t="s">
        <v>322</v>
      </c>
      <c r="G55" s="14" t="s">
        <v>323</v>
      </c>
      <c r="H55" s="14" t="s">
        <v>185</v>
      </c>
      <c r="I55" s="24" t="s">
        <v>65</v>
      </c>
      <c r="J55" s="25"/>
      <c r="K55" s="26"/>
      <c r="L55" s="27"/>
      <c r="M55" s="25"/>
    </row>
    <row r="56" spans="1:13" ht="25" x14ac:dyDescent="0.35">
      <c r="A56" s="23" t="s">
        <v>324</v>
      </c>
      <c r="B56" s="24" t="s">
        <v>295</v>
      </c>
      <c r="C56" s="14" t="s">
        <v>48</v>
      </c>
      <c r="D56" s="14" t="s">
        <v>217</v>
      </c>
      <c r="E56" s="14" t="s">
        <v>71</v>
      </c>
      <c r="F56" s="14" t="s">
        <v>325</v>
      </c>
      <c r="G56" s="14" t="s">
        <v>326</v>
      </c>
      <c r="H56" s="14" t="s">
        <v>228</v>
      </c>
      <c r="I56" s="24" t="s">
        <v>64</v>
      </c>
      <c r="J56" s="25"/>
      <c r="K56" s="26"/>
      <c r="L56" s="27"/>
      <c r="M56" s="25"/>
    </row>
    <row r="57" spans="1:13" ht="25" x14ac:dyDescent="0.35">
      <c r="A57" s="23" t="s">
        <v>327</v>
      </c>
      <c r="B57" s="24" t="s">
        <v>295</v>
      </c>
      <c r="C57" s="14" t="s">
        <v>48</v>
      </c>
      <c r="D57" s="14" t="s">
        <v>217</v>
      </c>
      <c r="E57" s="14" t="s">
        <v>71</v>
      </c>
      <c r="F57" s="14" t="s">
        <v>328</v>
      </c>
      <c r="G57" s="14" t="s">
        <v>329</v>
      </c>
      <c r="H57" s="14" t="s">
        <v>228</v>
      </c>
      <c r="I57" s="24" t="s">
        <v>64</v>
      </c>
      <c r="J57" s="25"/>
      <c r="K57" s="26"/>
      <c r="L57" s="27"/>
      <c r="M57" s="25"/>
    </row>
    <row r="58" spans="1:13" ht="25" x14ac:dyDescent="0.35">
      <c r="A58" s="23" t="s">
        <v>330</v>
      </c>
      <c r="B58" s="24" t="s">
        <v>295</v>
      </c>
      <c r="C58" s="14" t="s">
        <v>48</v>
      </c>
      <c r="D58" s="14" t="s">
        <v>217</v>
      </c>
      <c r="E58" s="14" t="s">
        <v>74</v>
      </c>
      <c r="F58" s="14" t="s">
        <v>331</v>
      </c>
      <c r="G58" s="14" t="s">
        <v>332</v>
      </c>
      <c r="H58" s="14" t="s">
        <v>255</v>
      </c>
      <c r="I58" s="24" t="s">
        <v>64</v>
      </c>
      <c r="J58" s="25"/>
      <c r="K58" s="26"/>
      <c r="L58" s="27"/>
      <c r="M58" s="25"/>
    </row>
    <row r="59" spans="1:13" ht="25" x14ac:dyDescent="0.35">
      <c r="A59" s="23" t="s">
        <v>333</v>
      </c>
      <c r="B59" s="24" t="s">
        <v>295</v>
      </c>
      <c r="C59" s="14" t="s">
        <v>48</v>
      </c>
      <c r="D59" s="14" t="s">
        <v>217</v>
      </c>
      <c r="E59" s="14" t="s">
        <v>71</v>
      </c>
      <c r="F59" s="14" t="s">
        <v>334</v>
      </c>
      <c r="G59" s="14" t="s">
        <v>335</v>
      </c>
      <c r="H59" s="14" t="s">
        <v>220</v>
      </c>
      <c r="I59" s="24" t="s">
        <v>65</v>
      </c>
      <c r="J59" s="25"/>
      <c r="K59" s="26"/>
      <c r="L59" s="27"/>
      <c r="M59" s="25"/>
    </row>
    <row r="60" spans="1:13" ht="25" x14ac:dyDescent="0.35">
      <c r="A60" s="23" t="s">
        <v>336</v>
      </c>
      <c r="B60" s="24" t="s">
        <v>295</v>
      </c>
      <c r="C60" s="14" t="s">
        <v>48</v>
      </c>
      <c r="D60" s="14" t="s">
        <v>217</v>
      </c>
      <c r="E60" s="14" t="s">
        <v>71</v>
      </c>
      <c r="F60" s="14" t="s">
        <v>337</v>
      </c>
      <c r="G60" s="14" t="s">
        <v>338</v>
      </c>
      <c r="H60" s="14" t="s">
        <v>339</v>
      </c>
      <c r="I60" s="24" t="s">
        <v>65</v>
      </c>
      <c r="J60" s="25"/>
      <c r="K60" s="26"/>
      <c r="L60" s="27"/>
      <c r="M60" s="25"/>
    </row>
    <row r="61" spans="1:13" ht="25" x14ac:dyDescent="0.35">
      <c r="A61" s="23" t="s">
        <v>340</v>
      </c>
      <c r="B61" s="24" t="s">
        <v>295</v>
      </c>
      <c r="C61" s="14" t="s">
        <v>48</v>
      </c>
      <c r="D61" s="14" t="s">
        <v>341</v>
      </c>
      <c r="E61" s="14" t="s">
        <v>71</v>
      </c>
      <c r="F61" s="14" t="s">
        <v>342</v>
      </c>
      <c r="G61" s="14" t="s">
        <v>343</v>
      </c>
      <c r="H61" s="14" t="s">
        <v>344</v>
      </c>
      <c r="I61" s="24" t="s">
        <v>64</v>
      </c>
      <c r="J61" s="25"/>
      <c r="K61" s="26"/>
      <c r="L61" s="27"/>
      <c r="M61" s="25"/>
    </row>
    <row r="62" spans="1:13" ht="25" x14ac:dyDescent="0.35">
      <c r="A62" s="23" t="s">
        <v>345</v>
      </c>
      <c r="B62" s="24" t="s">
        <v>295</v>
      </c>
      <c r="C62" s="14" t="s">
        <v>48</v>
      </c>
      <c r="D62" s="14" t="s">
        <v>196</v>
      </c>
      <c r="E62" s="14" t="s">
        <v>72</v>
      </c>
      <c r="F62" s="14" t="s">
        <v>346</v>
      </c>
      <c r="G62" s="14" t="s">
        <v>347</v>
      </c>
      <c r="H62" s="14" t="s">
        <v>196</v>
      </c>
      <c r="I62" s="24" t="s">
        <v>65</v>
      </c>
      <c r="J62" s="25"/>
      <c r="K62" s="26"/>
      <c r="L62" s="27"/>
      <c r="M62" s="25"/>
    </row>
    <row r="63" spans="1:13" ht="25" x14ac:dyDescent="0.35">
      <c r="A63" s="23" t="s">
        <v>348</v>
      </c>
      <c r="B63" s="24" t="s">
        <v>295</v>
      </c>
      <c r="C63" s="14" t="s">
        <v>48</v>
      </c>
      <c r="D63" s="14" t="s">
        <v>196</v>
      </c>
      <c r="E63" s="14" t="s">
        <v>71</v>
      </c>
      <c r="F63" s="14" t="s">
        <v>349</v>
      </c>
      <c r="G63" s="14" t="s">
        <v>350</v>
      </c>
      <c r="H63" s="14" t="s">
        <v>196</v>
      </c>
      <c r="I63" s="24" t="s">
        <v>64</v>
      </c>
      <c r="J63" s="25"/>
      <c r="K63" s="26"/>
      <c r="L63" s="27"/>
      <c r="M63" s="25"/>
    </row>
    <row r="64" spans="1:13" ht="25" x14ac:dyDescent="0.35">
      <c r="A64" s="23" t="s">
        <v>351</v>
      </c>
      <c r="B64" s="24" t="s">
        <v>295</v>
      </c>
      <c r="C64" s="14" t="s">
        <v>48</v>
      </c>
      <c r="D64" s="14" t="s">
        <v>187</v>
      </c>
      <c r="E64" s="14" t="s">
        <v>75</v>
      </c>
      <c r="F64" s="14" t="s">
        <v>352</v>
      </c>
      <c r="G64" s="14" t="s">
        <v>353</v>
      </c>
      <c r="H64" s="14" t="s">
        <v>250</v>
      </c>
      <c r="I64" s="24" t="s">
        <v>65</v>
      </c>
      <c r="J64" s="25"/>
      <c r="K64" s="26"/>
      <c r="L64" s="27"/>
      <c r="M64" s="25"/>
    </row>
    <row r="65" spans="1:13" ht="25" x14ac:dyDescent="0.35">
      <c r="A65" s="23" t="s">
        <v>354</v>
      </c>
      <c r="B65" s="24" t="s">
        <v>295</v>
      </c>
      <c r="C65" s="14" t="s">
        <v>48</v>
      </c>
      <c r="D65" s="14" t="s">
        <v>208</v>
      </c>
      <c r="E65" s="14" t="s">
        <v>73</v>
      </c>
      <c r="F65" s="14" t="s">
        <v>355</v>
      </c>
      <c r="G65" s="14" t="s">
        <v>356</v>
      </c>
      <c r="H65" s="14" t="s">
        <v>302</v>
      </c>
      <c r="I65" s="24" t="s">
        <v>65</v>
      </c>
      <c r="J65" s="25"/>
      <c r="K65" s="26"/>
      <c r="L65" s="27"/>
      <c r="M65" s="25"/>
    </row>
    <row r="66" spans="1:13" ht="25" x14ac:dyDescent="0.35">
      <c r="A66" s="23" t="s">
        <v>357</v>
      </c>
      <c r="B66" s="24" t="s">
        <v>295</v>
      </c>
      <c r="C66" s="14" t="s">
        <v>48</v>
      </c>
      <c r="D66" s="14" t="s">
        <v>257</v>
      </c>
      <c r="E66" s="14" t="s">
        <v>76</v>
      </c>
      <c r="F66" s="14" t="s">
        <v>358</v>
      </c>
      <c r="G66" s="14" t="s">
        <v>359</v>
      </c>
      <c r="H66" s="14" t="s">
        <v>306</v>
      </c>
      <c r="I66" s="24" t="s">
        <v>64</v>
      </c>
      <c r="J66" s="25"/>
      <c r="K66" s="26"/>
      <c r="L66" s="27"/>
      <c r="M66" s="25"/>
    </row>
    <row r="67" spans="1:13" ht="25" x14ac:dyDescent="0.35">
      <c r="A67" s="23" t="s">
        <v>360</v>
      </c>
      <c r="B67" s="24" t="s">
        <v>295</v>
      </c>
      <c r="C67" s="14" t="s">
        <v>48</v>
      </c>
      <c r="D67" s="14" t="s">
        <v>257</v>
      </c>
      <c r="E67" s="14" t="s">
        <v>76</v>
      </c>
      <c r="F67" s="14" t="s">
        <v>361</v>
      </c>
      <c r="G67" s="14" t="s">
        <v>362</v>
      </c>
      <c r="H67" s="14" t="s">
        <v>306</v>
      </c>
      <c r="I67" s="24" t="s">
        <v>65</v>
      </c>
      <c r="J67" s="25"/>
      <c r="K67" s="26"/>
      <c r="L67" s="27"/>
      <c r="M67" s="25"/>
    </row>
    <row r="68" spans="1:13" ht="25" x14ac:dyDescent="0.35">
      <c r="A68" s="23" t="s">
        <v>363</v>
      </c>
      <c r="B68" s="24" t="s">
        <v>295</v>
      </c>
      <c r="C68" s="14" t="s">
        <v>48</v>
      </c>
      <c r="D68" s="14" t="s">
        <v>257</v>
      </c>
      <c r="E68" s="14" t="s">
        <v>76</v>
      </c>
      <c r="F68" s="14" t="s">
        <v>364</v>
      </c>
      <c r="G68" s="14" t="s">
        <v>365</v>
      </c>
      <c r="H68" s="14" t="s">
        <v>257</v>
      </c>
      <c r="I68" s="24" t="s">
        <v>64</v>
      </c>
      <c r="J68" s="25"/>
      <c r="K68" s="26"/>
      <c r="L68" s="27"/>
      <c r="M68" s="25"/>
    </row>
    <row r="69" spans="1:13" ht="25" x14ac:dyDescent="0.35">
      <c r="A69" s="23" t="s">
        <v>366</v>
      </c>
      <c r="B69" s="24" t="s">
        <v>295</v>
      </c>
      <c r="C69" s="14" t="s">
        <v>48</v>
      </c>
      <c r="D69" s="14" t="s">
        <v>174</v>
      </c>
      <c r="E69" s="14" t="s">
        <v>71</v>
      </c>
      <c r="F69" s="14" t="s">
        <v>367</v>
      </c>
      <c r="G69" s="14" t="s">
        <v>368</v>
      </c>
      <c r="H69" s="14" t="s">
        <v>369</v>
      </c>
      <c r="I69" s="24" t="s">
        <v>65</v>
      </c>
      <c r="J69" s="25"/>
      <c r="K69" s="26"/>
      <c r="L69" s="27"/>
      <c r="M69" s="25"/>
    </row>
    <row r="70" spans="1:13" ht="25" x14ac:dyDescent="0.35">
      <c r="A70" s="23" t="s">
        <v>370</v>
      </c>
      <c r="B70" s="24" t="s">
        <v>295</v>
      </c>
      <c r="C70" s="14" t="s">
        <v>48</v>
      </c>
      <c r="D70" s="14" t="s">
        <v>174</v>
      </c>
      <c r="E70" s="14" t="s">
        <v>71</v>
      </c>
      <c r="F70" s="14" t="s">
        <v>371</v>
      </c>
      <c r="G70" s="14" t="s">
        <v>372</v>
      </c>
      <c r="H70" s="14" t="s">
        <v>373</v>
      </c>
      <c r="I70" s="24" t="s">
        <v>64</v>
      </c>
      <c r="J70" s="25"/>
      <c r="K70" s="26"/>
      <c r="L70" s="27"/>
      <c r="M70" s="25"/>
    </row>
    <row r="71" spans="1:13" ht="25" x14ac:dyDescent="0.35">
      <c r="A71" s="23" t="s">
        <v>374</v>
      </c>
      <c r="B71" s="24" t="s">
        <v>295</v>
      </c>
      <c r="C71" s="14" t="s">
        <v>49</v>
      </c>
      <c r="D71" s="14" t="s">
        <v>285</v>
      </c>
      <c r="E71" s="14" t="s">
        <v>69</v>
      </c>
      <c r="F71" s="14" t="s">
        <v>375</v>
      </c>
      <c r="G71" s="14" t="s">
        <v>376</v>
      </c>
      <c r="H71" s="14" t="s">
        <v>377</v>
      </c>
      <c r="I71" s="24" t="s">
        <v>63</v>
      </c>
      <c r="J71" s="25"/>
      <c r="K71" s="26"/>
      <c r="L71" s="27"/>
      <c r="M71" s="25"/>
    </row>
    <row r="72" spans="1:13" ht="25" x14ac:dyDescent="0.35">
      <c r="A72" s="23" t="s">
        <v>378</v>
      </c>
      <c r="B72" s="24" t="s">
        <v>295</v>
      </c>
      <c r="C72" s="14" t="s">
        <v>49</v>
      </c>
      <c r="D72" s="14" t="s">
        <v>285</v>
      </c>
      <c r="E72" s="14" t="s">
        <v>77</v>
      </c>
      <c r="F72" s="14" t="s">
        <v>379</v>
      </c>
      <c r="G72" s="14" t="s">
        <v>380</v>
      </c>
      <c r="H72" s="14" t="s">
        <v>381</v>
      </c>
      <c r="I72" s="24" t="s">
        <v>63</v>
      </c>
      <c r="J72" s="25"/>
      <c r="K72" s="26"/>
      <c r="L72" s="27"/>
      <c r="M72" s="25"/>
    </row>
    <row r="73" spans="1:13" ht="25" x14ac:dyDescent="0.35">
      <c r="A73" s="23" t="s">
        <v>382</v>
      </c>
      <c r="B73" s="24" t="s">
        <v>295</v>
      </c>
      <c r="C73" s="14" t="s">
        <v>49</v>
      </c>
      <c r="D73" s="14" t="s">
        <v>285</v>
      </c>
      <c r="E73" s="14" t="s">
        <v>77</v>
      </c>
      <c r="F73" s="14" t="s">
        <v>383</v>
      </c>
      <c r="G73" s="14" t="s">
        <v>384</v>
      </c>
      <c r="H73" s="14" t="s">
        <v>166</v>
      </c>
      <c r="I73" s="24" t="s">
        <v>64</v>
      </c>
      <c r="J73" s="25"/>
      <c r="K73" s="26"/>
      <c r="L73" s="27"/>
      <c r="M73" s="25"/>
    </row>
    <row r="74" spans="1:13" x14ac:dyDescent="0.35">
      <c r="A74" s="23" t="s">
        <v>385</v>
      </c>
      <c r="B74" s="24" t="s">
        <v>295</v>
      </c>
      <c r="C74" s="14" t="s">
        <v>49</v>
      </c>
      <c r="D74" s="14" t="s">
        <v>285</v>
      </c>
      <c r="E74" s="14" t="s">
        <v>77</v>
      </c>
      <c r="F74" s="14" t="s">
        <v>386</v>
      </c>
      <c r="G74" s="14" t="s">
        <v>387</v>
      </c>
      <c r="H74" s="14" t="s">
        <v>388</v>
      </c>
      <c r="I74" s="24" t="s">
        <v>63</v>
      </c>
      <c r="J74" s="25"/>
      <c r="K74" s="26"/>
      <c r="L74" s="27"/>
      <c r="M74" s="25"/>
    </row>
    <row r="75" spans="1:13" ht="25" x14ac:dyDescent="0.35">
      <c r="A75" s="23" t="s">
        <v>389</v>
      </c>
      <c r="B75" s="24" t="s">
        <v>295</v>
      </c>
      <c r="C75" s="14" t="s">
        <v>49</v>
      </c>
      <c r="D75" s="14" t="s">
        <v>285</v>
      </c>
      <c r="E75" s="14" t="s">
        <v>77</v>
      </c>
      <c r="F75" s="14" t="s">
        <v>390</v>
      </c>
      <c r="G75" s="14" t="s">
        <v>391</v>
      </c>
      <c r="H75" s="14" t="s">
        <v>392</v>
      </c>
      <c r="I75" s="24" t="s">
        <v>64</v>
      </c>
      <c r="J75" s="25"/>
      <c r="K75" s="26"/>
      <c r="L75" s="27"/>
      <c r="M75" s="25"/>
    </row>
    <row r="76" spans="1:13" ht="25" x14ac:dyDescent="0.35">
      <c r="A76" s="23" t="s">
        <v>393</v>
      </c>
      <c r="B76" s="24" t="s">
        <v>295</v>
      </c>
      <c r="C76" s="14" t="s">
        <v>49</v>
      </c>
      <c r="D76" s="14" t="s">
        <v>285</v>
      </c>
      <c r="E76" s="14" t="s">
        <v>77</v>
      </c>
      <c r="F76" s="14" t="s">
        <v>394</v>
      </c>
      <c r="G76" s="14" t="s">
        <v>395</v>
      </c>
      <c r="H76" s="14" t="s">
        <v>396</v>
      </c>
      <c r="I76" s="24" t="s">
        <v>64</v>
      </c>
      <c r="J76" s="25"/>
      <c r="K76" s="26"/>
      <c r="L76" s="27"/>
      <c r="M76" s="25"/>
    </row>
    <row r="77" spans="1:13" x14ac:dyDescent="0.35">
      <c r="A77" s="23" t="s">
        <v>397</v>
      </c>
      <c r="B77" s="24" t="s">
        <v>295</v>
      </c>
      <c r="C77" s="14" t="s">
        <v>49</v>
      </c>
      <c r="D77" s="14" t="s">
        <v>285</v>
      </c>
      <c r="E77" s="14" t="s">
        <v>74</v>
      </c>
      <c r="F77" s="14" t="s">
        <v>398</v>
      </c>
      <c r="G77" s="14" t="s">
        <v>399</v>
      </c>
      <c r="H77" s="14" t="s">
        <v>400</v>
      </c>
      <c r="I77" s="24" t="s">
        <v>63</v>
      </c>
      <c r="J77" s="25"/>
      <c r="K77" s="26"/>
      <c r="L77" s="27"/>
      <c r="M77" s="25"/>
    </row>
    <row r="78" spans="1:13" ht="25" x14ac:dyDescent="0.35">
      <c r="A78" s="23" t="s">
        <v>401</v>
      </c>
      <c r="B78" s="24" t="s">
        <v>295</v>
      </c>
      <c r="C78" s="14" t="s">
        <v>49</v>
      </c>
      <c r="D78" s="14" t="s">
        <v>402</v>
      </c>
      <c r="E78" s="14" t="s">
        <v>71</v>
      </c>
      <c r="F78" s="14" t="s">
        <v>403</v>
      </c>
      <c r="G78" s="14" t="s">
        <v>404</v>
      </c>
      <c r="H78" s="14" t="s">
        <v>405</v>
      </c>
      <c r="I78" s="24" t="s">
        <v>64</v>
      </c>
      <c r="J78" s="25"/>
      <c r="K78" s="26"/>
      <c r="L78" s="27"/>
      <c r="M78" s="25"/>
    </row>
    <row r="79" spans="1:13" x14ac:dyDescent="0.35">
      <c r="A79" s="23" t="s">
        <v>406</v>
      </c>
      <c r="B79" s="24" t="s">
        <v>295</v>
      </c>
      <c r="C79" s="14" t="s">
        <v>49</v>
      </c>
      <c r="D79" s="14" t="s">
        <v>402</v>
      </c>
      <c r="E79" s="14" t="s">
        <v>71</v>
      </c>
      <c r="F79" s="14" t="s">
        <v>407</v>
      </c>
      <c r="G79" s="14" t="s">
        <v>408</v>
      </c>
      <c r="H79" s="14" t="s">
        <v>405</v>
      </c>
      <c r="I79" s="24" t="s">
        <v>63</v>
      </c>
      <c r="J79" s="25"/>
      <c r="K79" s="26"/>
      <c r="L79" s="27"/>
      <c r="M79" s="25"/>
    </row>
    <row r="80" spans="1:13" ht="25" x14ac:dyDescent="0.35">
      <c r="A80" s="23" t="s">
        <v>409</v>
      </c>
      <c r="B80" s="24" t="s">
        <v>295</v>
      </c>
      <c r="C80" s="14" t="s">
        <v>49</v>
      </c>
      <c r="D80" s="14" t="s">
        <v>402</v>
      </c>
      <c r="E80" s="14" t="s">
        <v>71</v>
      </c>
      <c r="F80" s="14" t="s">
        <v>410</v>
      </c>
      <c r="G80" s="14" t="s">
        <v>411</v>
      </c>
      <c r="H80" s="14" t="s">
        <v>405</v>
      </c>
      <c r="I80" s="24" t="s">
        <v>65</v>
      </c>
      <c r="J80" s="25"/>
      <c r="K80" s="26"/>
      <c r="L80" s="27"/>
      <c r="M80" s="25"/>
    </row>
    <row r="81" spans="1:13" x14ac:dyDescent="0.35">
      <c r="A81" s="23" t="s">
        <v>412</v>
      </c>
      <c r="B81" s="24" t="s">
        <v>295</v>
      </c>
      <c r="C81" s="14" t="s">
        <v>49</v>
      </c>
      <c r="D81" s="14" t="s">
        <v>402</v>
      </c>
      <c r="E81" s="14" t="s">
        <v>71</v>
      </c>
      <c r="F81" s="14" t="s">
        <v>413</v>
      </c>
      <c r="G81" s="14" t="s">
        <v>414</v>
      </c>
      <c r="H81" s="14" t="s">
        <v>415</v>
      </c>
      <c r="I81" s="24" t="s">
        <v>64</v>
      </c>
      <c r="J81" s="25"/>
      <c r="K81" s="26"/>
      <c r="L81" s="27"/>
      <c r="M81" s="25"/>
    </row>
    <row r="82" spans="1:13" ht="25" x14ac:dyDescent="0.35">
      <c r="A82" s="23" t="s">
        <v>416</v>
      </c>
      <c r="B82" s="24" t="s">
        <v>295</v>
      </c>
      <c r="C82" s="14" t="s">
        <v>49</v>
      </c>
      <c r="D82" s="14" t="s">
        <v>285</v>
      </c>
      <c r="E82" s="14" t="s">
        <v>77</v>
      </c>
      <c r="F82" s="14" t="s">
        <v>417</v>
      </c>
      <c r="G82" s="14" t="s">
        <v>418</v>
      </c>
      <c r="H82" s="14" t="s">
        <v>419</v>
      </c>
      <c r="I82" s="24" t="s">
        <v>65</v>
      </c>
      <c r="J82" s="25"/>
      <c r="K82" s="26"/>
      <c r="L82" s="27"/>
      <c r="M82" s="25"/>
    </row>
    <row r="83" spans="1:13" x14ac:dyDescent="0.35">
      <c r="A83" s="23" t="s">
        <v>420</v>
      </c>
      <c r="B83" s="24" t="s">
        <v>295</v>
      </c>
      <c r="C83" s="14" t="s">
        <v>49</v>
      </c>
      <c r="D83" s="14" t="s">
        <v>285</v>
      </c>
      <c r="E83" s="14" t="s">
        <v>77</v>
      </c>
      <c r="F83" s="14" t="s">
        <v>421</v>
      </c>
      <c r="G83" s="14" t="s">
        <v>422</v>
      </c>
      <c r="H83" s="14" t="s">
        <v>423</v>
      </c>
      <c r="I83" s="24" t="s">
        <v>64</v>
      </c>
      <c r="J83" s="25"/>
      <c r="K83" s="26"/>
      <c r="L83" s="27"/>
      <c r="M83" s="25"/>
    </row>
    <row r="84" spans="1:13" x14ac:dyDescent="0.35">
      <c r="A84" s="23" t="s">
        <v>424</v>
      </c>
      <c r="B84" s="24" t="s">
        <v>295</v>
      </c>
      <c r="C84" s="14" t="s">
        <v>49</v>
      </c>
      <c r="D84" s="14" t="s">
        <v>285</v>
      </c>
      <c r="E84" s="14" t="s">
        <v>75</v>
      </c>
      <c r="F84" s="14" t="s">
        <v>425</v>
      </c>
      <c r="G84" s="14" t="s">
        <v>426</v>
      </c>
      <c r="H84" s="14" t="s">
        <v>427</v>
      </c>
      <c r="I84" s="24" t="s">
        <v>65</v>
      </c>
      <c r="J84" s="25"/>
      <c r="K84" s="26"/>
      <c r="L84" s="27"/>
      <c r="M84" s="25"/>
    </row>
    <row r="85" spans="1:13" ht="25" x14ac:dyDescent="0.35">
      <c r="A85" s="23" t="s">
        <v>428</v>
      </c>
      <c r="B85" s="24" t="s">
        <v>295</v>
      </c>
      <c r="C85" s="14" t="s">
        <v>49</v>
      </c>
      <c r="D85" s="14" t="s">
        <v>285</v>
      </c>
      <c r="E85" s="14" t="s">
        <v>77</v>
      </c>
      <c r="F85" s="14" t="s">
        <v>429</v>
      </c>
      <c r="G85" s="14" t="s">
        <v>430</v>
      </c>
      <c r="H85" s="14" t="s">
        <v>381</v>
      </c>
      <c r="I85" s="24" t="s">
        <v>65</v>
      </c>
      <c r="J85" s="25"/>
      <c r="K85" s="26"/>
      <c r="L85" s="27"/>
      <c r="M85" s="25"/>
    </row>
    <row r="86" spans="1:13" ht="37.5" x14ac:dyDescent="0.35">
      <c r="A86" s="23" t="s">
        <v>431</v>
      </c>
      <c r="B86" s="24" t="s">
        <v>295</v>
      </c>
      <c r="C86" s="14" t="s">
        <v>49</v>
      </c>
      <c r="D86" s="14" t="s">
        <v>285</v>
      </c>
      <c r="E86" s="14" t="s">
        <v>69</v>
      </c>
      <c r="F86" s="14" t="s">
        <v>432</v>
      </c>
      <c r="G86" s="14" t="s">
        <v>433</v>
      </c>
      <c r="H86" s="14" t="s">
        <v>377</v>
      </c>
      <c r="I86" s="24" t="s">
        <v>64</v>
      </c>
      <c r="J86" s="25"/>
      <c r="K86" s="26"/>
      <c r="L86" s="27"/>
      <c r="M86" s="25"/>
    </row>
    <row r="87" spans="1:13" ht="25" x14ac:dyDescent="0.35">
      <c r="A87" s="23" t="s">
        <v>434</v>
      </c>
      <c r="B87" s="24" t="s">
        <v>295</v>
      </c>
      <c r="C87" s="14" t="s">
        <v>49</v>
      </c>
      <c r="D87" s="14" t="s">
        <v>285</v>
      </c>
      <c r="E87" s="14" t="s">
        <v>69</v>
      </c>
      <c r="F87" s="14" t="s">
        <v>435</v>
      </c>
      <c r="G87" s="14" t="s">
        <v>436</v>
      </c>
      <c r="H87" s="14" t="s">
        <v>118</v>
      </c>
      <c r="I87" s="24" t="s">
        <v>64</v>
      </c>
      <c r="J87" s="25"/>
      <c r="K87" s="26"/>
      <c r="L87" s="27"/>
      <c r="M87" s="25"/>
    </row>
    <row r="88" spans="1:13" ht="25" x14ac:dyDescent="0.35">
      <c r="A88" s="23" t="s">
        <v>437</v>
      </c>
      <c r="B88" s="24" t="s">
        <v>295</v>
      </c>
      <c r="C88" s="14" t="s">
        <v>49</v>
      </c>
      <c r="D88" s="14" t="s">
        <v>285</v>
      </c>
      <c r="E88" s="14" t="s">
        <v>69</v>
      </c>
      <c r="F88" s="14" t="s">
        <v>438</v>
      </c>
      <c r="G88" s="14" t="s">
        <v>439</v>
      </c>
      <c r="H88" s="14" t="s">
        <v>440</v>
      </c>
      <c r="I88" s="24" t="s">
        <v>64</v>
      </c>
      <c r="J88" s="25"/>
      <c r="K88" s="26"/>
      <c r="L88" s="27"/>
      <c r="M88" s="25"/>
    </row>
    <row r="89" spans="1:13" ht="25" x14ac:dyDescent="0.35">
      <c r="A89" s="23" t="s">
        <v>441</v>
      </c>
      <c r="B89" s="24" t="s">
        <v>295</v>
      </c>
      <c r="C89" s="14" t="s">
        <v>49</v>
      </c>
      <c r="D89" s="14" t="s">
        <v>442</v>
      </c>
      <c r="E89" s="14" t="s">
        <v>74</v>
      </c>
      <c r="F89" s="14" t="s">
        <v>443</v>
      </c>
      <c r="G89" s="14" t="s">
        <v>444</v>
      </c>
      <c r="H89" s="14" t="s">
        <v>445</v>
      </c>
      <c r="I89" s="24" t="s">
        <v>64</v>
      </c>
      <c r="J89" s="25"/>
      <c r="K89" s="26"/>
      <c r="L89" s="27"/>
      <c r="M89" s="25"/>
    </row>
    <row r="90" spans="1:13" ht="25" x14ac:dyDescent="0.35">
      <c r="A90" s="23" t="s">
        <v>446</v>
      </c>
      <c r="B90" s="24" t="s">
        <v>295</v>
      </c>
      <c r="C90" s="14" t="s">
        <v>49</v>
      </c>
      <c r="D90" s="14" t="s">
        <v>447</v>
      </c>
      <c r="E90" s="14" t="s">
        <v>74</v>
      </c>
      <c r="F90" s="14" t="s">
        <v>448</v>
      </c>
      <c r="G90" s="14" t="s">
        <v>449</v>
      </c>
      <c r="H90" s="14" t="s">
        <v>450</v>
      </c>
      <c r="I90" s="24" t="s">
        <v>65</v>
      </c>
      <c r="J90" s="25"/>
      <c r="K90" s="26"/>
      <c r="L90" s="27"/>
      <c r="M90" s="25"/>
    </row>
    <row r="91" spans="1:13" x14ac:dyDescent="0.35">
      <c r="A91" s="23" t="s">
        <v>451</v>
      </c>
      <c r="B91" s="24" t="s">
        <v>295</v>
      </c>
      <c r="C91" s="14" t="s">
        <v>49</v>
      </c>
      <c r="D91" s="14" t="s">
        <v>285</v>
      </c>
      <c r="E91" s="14" t="s">
        <v>74</v>
      </c>
      <c r="F91" s="14" t="s">
        <v>452</v>
      </c>
      <c r="G91" s="14" t="s">
        <v>453</v>
      </c>
      <c r="H91" s="14" t="s">
        <v>400</v>
      </c>
      <c r="I91" s="24" t="s">
        <v>65</v>
      </c>
      <c r="J91" s="25"/>
      <c r="K91" s="26"/>
      <c r="L91" s="27"/>
      <c r="M91" s="25"/>
    </row>
    <row r="92" spans="1:13" x14ac:dyDescent="0.35">
      <c r="A92" s="23" t="s">
        <v>454</v>
      </c>
      <c r="B92" s="24" t="s">
        <v>295</v>
      </c>
      <c r="C92" s="14" t="s">
        <v>49</v>
      </c>
      <c r="D92" s="14" t="s">
        <v>285</v>
      </c>
      <c r="E92" s="14" t="s">
        <v>75</v>
      </c>
      <c r="F92" s="14" t="s">
        <v>455</v>
      </c>
      <c r="G92" s="14" t="s">
        <v>456</v>
      </c>
      <c r="H92" s="14" t="s">
        <v>457</v>
      </c>
      <c r="I92" s="24" t="s">
        <v>65</v>
      </c>
      <c r="J92" s="25"/>
      <c r="K92" s="26"/>
      <c r="L92" s="27"/>
      <c r="M92" s="25"/>
    </row>
    <row r="93" spans="1:13" ht="25" x14ac:dyDescent="0.35">
      <c r="A93" s="23" t="s">
        <v>458</v>
      </c>
      <c r="B93" s="24" t="s">
        <v>459</v>
      </c>
      <c r="C93" s="14" t="s">
        <v>50</v>
      </c>
      <c r="D93" s="14" t="s">
        <v>460</v>
      </c>
      <c r="E93" s="14" t="s">
        <v>69</v>
      </c>
      <c r="F93" s="14" t="s">
        <v>461</v>
      </c>
      <c r="G93" s="14" t="s">
        <v>462</v>
      </c>
      <c r="H93" s="14" t="s">
        <v>463</v>
      </c>
      <c r="I93" s="24" t="s">
        <v>64</v>
      </c>
      <c r="J93" s="25"/>
      <c r="K93" s="26"/>
      <c r="L93" s="27"/>
      <c r="M93" s="25"/>
    </row>
    <row r="94" spans="1:13" ht="25" x14ac:dyDescent="0.35">
      <c r="A94" s="23" t="s">
        <v>464</v>
      </c>
      <c r="B94" s="24" t="s">
        <v>459</v>
      </c>
      <c r="C94" s="14" t="s">
        <v>50</v>
      </c>
      <c r="D94" s="14" t="s">
        <v>460</v>
      </c>
      <c r="E94" s="14" t="s">
        <v>75</v>
      </c>
      <c r="F94" s="14" t="s">
        <v>465</v>
      </c>
      <c r="G94" s="14" t="s">
        <v>466</v>
      </c>
      <c r="H94" s="14" t="s">
        <v>467</v>
      </c>
      <c r="I94" s="24" t="s">
        <v>64</v>
      </c>
      <c r="J94" s="25"/>
      <c r="K94" s="26"/>
      <c r="L94" s="27"/>
      <c r="M94" s="25"/>
    </row>
    <row r="95" spans="1:13" ht="25" x14ac:dyDescent="0.35">
      <c r="A95" s="23" t="s">
        <v>468</v>
      </c>
      <c r="B95" s="24" t="s">
        <v>459</v>
      </c>
      <c r="C95" s="14" t="s">
        <v>50</v>
      </c>
      <c r="D95" s="14" t="s">
        <v>460</v>
      </c>
      <c r="E95" s="14" t="s">
        <v>69</v>
      </c>
      <c r="F95" s="14" t="s">
        <v>469</v>
      </c>
      <c r="G95" s="14" t="s">
        <v>470</v>
      </c>
      <c r="H95" s="14" t="s">
        <v>471</v>
      </c>
      <c r="I95" s="24" t="s">
        <v>63</v>
      </c>
      <c r="J95" s="25"/>
      <c r="K95" s="26"/>
      <c r="L95" s="27"/>
      <c r="M95" s="25"/>
    </row>
    <row r="96" spans="1:13" ht="25" x14ac:dyDescent="0.35">
      <c r="A96" s="23" t="s">
        <v>472</v>
      </c>
      <c r="B96" s="24" t="s">
        <v>459</v>
      </c>
      <c r="C96" s="14" t="s">
        <v>50</v>
      </c>
      <c r="D96" s="14" t="s">
        <v>460</v>
      </c>
      <c r="E96" s="14" t="s">
        <v>69</v>
      </c>
      <c r="F96" s="14" t="s">
        <v>473</v>
      </c>
      <c r="G96" s="14" t="s">
        <v>474</v>
      </c>
      <c r="H96" s="14" t="s">
        <v>471</v>
      </c>
      <c r="I96" s="24" t="s">
        <v>63</v>
      </c>
      <c r="J96" s="25"/>
      <c r="K96" s="26"/>
      <c r="L96" s="27"/>
      <c r="M96" s="25"/>
    </row>
    <row r="97" spans="1:13" ht="25" x14ac:dyDescent="0.35">
      <c r="A97" s="23" t="s">
        <v>475</v>
      </c>
      <c r="B97" s="24" t="s">
        <v>459</v>
      </c>
      <c r="C97" s="14" t="s">
        <v>50</v>
      </c>
      <c r="D97" s="14" t="s">
        <v>460</v>
      </c>
      <c r="E97" s="14" t="s">
        <v>69</v>
      </c>
      <c r="F97" s="14" t="s">
        <v>476</v>
      </c>
      <c r="G97" s="14" t="s">
        <v>477</v>
      </c>
      <c r="H97" s="14" t="s">
        <v>471</v>
      </c>
      <c r="I97" s="24" t="s">
        <v>65</v>
      </c>
      <c r="J97" s="25"/>
      <c r="K97" s="26"/>
      <c r="L97" s="27"/>
      <c r="M97" s="25"/>
    </row>
    <row r="98" spans="1:13" ht="25" x14ac:dyDescent="0.35">
      <c r="A98" s="23" t="s">
        <v>478</v>
      </c>
      <c r="B98" s="24" t="s">
        <v>459</v>
      </c>
      <c r="C98" s="14" t="s">
        <v>50</v>
      </c>
      <c r="D98" s="14" t="s">
        <v>460</v>
      </c>
      <c r="E98" s="14" t="s">
        <v>69</v>
      </c>
      <c r="F98" s="14" t="s">
        <v>479</v>
      </c>
      <c r="G98" s="14" t="s">
        <v>480</v>
      </c>
      <c r="H98" s="14" t="s">
        <v>481</v>
      </c>
      <c r="I98" s="24" t="s">
        <v>64</v>
      </c>
      <c r="J98" s="25"/>
      <c r="K98" s="26"/>
      <c r="L98" s="27"/>
      <c r="M98" s="25"/>
    </row>
    <row r="99" spans="1:13" ht="37.5" x14ac:dyDescent="0.35">
      <c r="A99" s="23" t="s">
        <v>482</v>
      </c>
      <c r="B99" s="24" t="s">
        <v>459</v>
      </c>
      <c r="C99" s="14" t="s">
        <v>50</v>
      </c>
      <c r="D99" s="14" t="s">
        <v>460</v>
      </c>
      <c r="E99" s="14" t="s">
        <v>69</v>
      </c>
      <c r="F99" s="14" t="s">
        <v>483</v>
      </c>
      <c r="G99" s="14" t="s">
        <v>484</v>
      </c>
      <c r="H99" s="14" t="s">
        <v>481</v>
      </c>
      <c r="I99" s="24" t="s">
        <v>63</v>
      </c>
      <c r="J99" s="25"/>
      <c r="K99" s="26"/>
      <c r="L99" s="27"/>
      <c r="M99" s="25"/>
    </row>
    <row r="100" spans="1:13" ht="25" x14ac:dyDescent="0.35">
      <c r="A100" s="23" t="s">
        <v>485</v>
      </c>
      <c r="B100" s="24" t="s">
        <v>459</v>
      </c>
      <c r="C100" s="14" t="s">
        <v>50</v>
      </c>
      <c r="D100" s="14" t="s">
        <v>460</v>
      </c>
      <c r="E100" s="14" t="s">
        <v>69</v>
      </c>
      <c r="F100" s="14" t="s">
        <v>486</v>
      </c>
      <c r="G100" s="14" t="s">
        <v>487</v>
      </c>
      <c r="H100" s="14" t="s">
        <v>481</v>
      </c>
      <c r="I100" s="24" t="s">
        <v>64</v>
      </c>
      <c r="J100" s="25"/>
      <c r="K100" s="26"/>
      <c r="L100" s="27"/>
      <c r="M100" s="25"/>
    </row>
    <row r="101" spans="1:13" ht="25" x14ac:dyDescent="0.35">
      <c r="A101" s="23" t="s">
        <v>488</v>
      </c>
      <c r="B101" s="24" t="s">
        <v>459</v>
      </c>
      <c r="C101" s="14" t="s">
        <v>50</v>
      </c>
      <c r="D101" s="14" t="s">
        <v>489</v>
      </c>
      <c r="E101" s="14" t="s">
        <v>71</v>
      </c>
      <c r="F101" s="14" t="s">
        <v>490</v>
      </c>
      <c r="G101" s="14" t="s">
        <v>491</v>
      </c>
      <c r="H101" s="14" t="s">
        <v>220</v>
      </c>
      <c r="I101" s="24" t="s">
        <v>63</v>
      </c>
      <c r="J101" s="25"/>
      <c r="K101" s="26"/>
      <c r="L101" s="27"/>
      <c r="M101" s="25"/>
    </row>
    <row r="102" spans="1:13" ht="25" x14ac:dyDescent="0.35">
      <c r="A102" s="23" t="s">
        <v>492</v>
      </c>
      <c r="B102" s="24" t="s">
        <v>459</v>
      </c>
      <c r="C102" s="14" t="s">
        <v>50</v>
      </c>
      <c r="D102" s="14" t="s">
        <v>489</v>
      </c>
      <c r="E102" s="14" t="s">
        <v>71</v>
      </c>
      <c r="F102" s="14" t="s">
        <v>493</v>
      </c>
      <c r="G102" s="14" t="s">
        <v>494</v>
      </c>
      <c r="H102" s="14" t="s">
        <v>396</v>
      </c>
      <c r="I102" s="24" t="s">
        <v>64</v>
      </c>
      <c r="J102" s="25"/>
      <c r="K102" s="26"/>
      <c r="L102" s="27"/>
      <c r="M102" s="25"/>
    </row>
    <row r="103" spans="1:13" ht="25" x14ac:dyDescent="0.35">
      <c r="A103" s="23" t="s">
        <v>495</v>
      </c>
      <c r="B103" s="24" t="s">
        <v>459</v>
      </c>
      <c r="C103" s="14" t="s">
        <v>50</v>
      </c>
      <c r="D103" s="14" t="s">
        <v>496</v>
      </c>
      <c r="E103" s="14" t="s">
        <v>74</v>
      </c>
      <c r="F103" s="14" t="s">
        <v>497</v>
      </c>
      <c r="G103" s="14" t="s">
        <v>498</v>
      </c>
      <c r="H103" s="14" t="s">
        <v>499</v>
      </c>
      <c r="I103" s="24" t="s">
        <v>63</v>
      </c>
      <c r="J103" s="25"/>
      <c r="K103" s="26"/>
      <c r="L103" s="27"/>
      <c r="M103" s="25"/>
    </row>
    <row r="104" spans="1:13" ht="25" x14ac:dyDescent="0.35">
      <c r="A104" s="23" t="s">
        <v>500</v>
      </c>
      <c r="B104" s="24" t="s">
        <v>459</v>
      </c>
      <c r="C104" s="14" t="s">
        <v>50</v>
      </c>
      <c r="D104" s="14" t="s">
        <v>496</v>
      </c>
      <c r="E104" s="14" t="s">
        <v>77</v>
      </c>
      <c r="F104" s="14" t="s">
        <v>501</v>
      </c>
      <c r="G104" s="14" t="s">
        <v>502</v>
      </c>
      <c r="H104" s="14" t="s">
        <v>503</v>
      </c>
      <c r="I104" s="24" t="s">
        <v>63</v>
      </c>
      <c r="J104" s="25"/>
      <c r="K104" s="26"/>
      <c r="L104" s="27"/>
      <c r="M104" s="25"/>
    </row>
    <row r="105" spans="1:13" ht="25" x14ac:dyDescent="0.35">
      <c r="A105" s="23" t="s">
        <v>504</v>
      </c>
      <c r="B105" s="24" t="s">
        <v>459</v>
      </c>
      <c r="C105" s="14" t="s">
        <v>50</v>
      </c>
      <c r="D105" s="14" t="s">
        <v>496</v>
      </c>
      <c r="E105" s="14" t="s">
        <v>77</v>
      </c>
      <c r="F105" s="14" t="s">
        <v>505</v>
      </c>
      <c r="G105" s="14" t="s">
        <v>506</v>
      </c>
      <c r="H105" s="14" t="s">
        <v>507</v>
      </c>
      <c r="I105" s="24" t="s">
        <v>64</v>
      </c>
      <c r="J105" s="25"/>
      <c r="K105" s="26"/>
      <c r="L105" s="27"/>
      <c r="M105" s="25"/>
    </row>
    <row r="106" spans="1:13" ht="25" x14ac:dyDescent="0.35">
      <c r="A106" s="23" t="s">
        <v>508</v>
      </c>
      <c r="B106" s="24" t="s">
        <v>459</v>
      </c>
      <c r="C106" s="14" t="s">
        <v>50</v>
      </c>
      <c r="D106" s="14" t="s">
        <v>496</v>
      </c>
      <c r="E106" s="14" t="s">
        <v>74</v>
      </c>
      <c r="F106" s="14" t="s">
        <v>509</v>
      </c>
      <c r="G106" s="14" t="s">
        <v>510</v>
      </c>
      <c r="H106" s="14" t="s">
        <v>507</v>
      </c>
      <c r="I106" s="24" t="s">
        <v>64</v>
      </c>
      <c r="J106" s="25"/>
      <c r="K106" s="26"/>
      <c r="L106" s="27"/>
      <c r="M106" s="25"/>
    </row>
    <row r="107" spans="1:13" ht="25" x14ac:dyDescent="0.35">
      <c r="A107" s="23" t="s">
        <v>511</v>
      </c>
      <c r="B107" s="24" t="s">
        <v>459</v>
      </c>
      <c r="C107" s="14" t="s">
        <v>50</v>
      </c>
      <c r="D107" s="14" t="s">
        <v>496</v>
      </c>
      <c r="E107" s="14" t="s">
        <v>74</v>
      </c>
      <c r="F107" s="14" t="s">
        <v>512</v>
      </c>
      <c r="G107" s="14" t="s">
        <v>513</v>
      </c>
      <c r="H107" s="14" t="s">
        <v>507</v>
      </c>
      <c r="I107" s="24" t="s">
        <v>65</v>
      </c>
      <c r="J107" s="25"/>
      <c r="K107" s="26"/>
      <c r="L107" s="27"/>
      <c r="M107" s="25"/>
    </row>
    <row r="108" spans="1:13" ht="25" x14ac:dyDescent="0.35">
      <c r="A108" s="23" t="s">
        <v>514</v>
      </c>
      <c r="B108" s="24" t="s">
        <v>459</v>
      </c>
      <c r="C108" s="14" t="s">
        <v>50</v>
      </c>
      <c r="D108" s="14" t="s">
        <v>496</v>
      </c>
      <c r="E108" s="14" t="s">
        <v>77</v>
      </c>
      <c r="F108" s="14" t="s">
        <v>515</v>
      </c>
      <c r="G108" s="14" t="s">
        <v>516</v>
      </c>
      <c r="H108" s="14" t="s">
        <v>507</v>
      </c>
      <c r="I108" s="24" t="s">
        <v>63</v>
      </c>
      <c r="J108" s="25"/>
      <c r="K108" s="26"/>
      <c r="L108" s="27"/>
      <c r="M108" s="25"/>
    </row>
    <row r="109" spans="1:13" ht="25" x14ac:dyDescent="0.35">
      <c r="A109" s="23" t="s">
        <v>517</v>
      </c>
      <c r="B109" s="24" t="s">
        <v>459</v>
      </c>
      <c r="C109" s="14" t="s">
        <v>50</v>
      </c>
      <c r="D109" s="14" t="s">
        <v>496</v>
      </c>
      <c r="E109" s="14" t="s">
        <v>69</v>
      </c>
      <c r="F109" s="14" t="s">
        <v>518</v>
      </c>
      <c r="G109" s="14" t="s">
        <v>519</v>
      </c>
      <c r="H109" s="14" t="s">
        <v>520</v>
      </c>
      <c r="I109" s="24" t="s">
        <v>64</v>
      </c>
      <c r="J109" s="25"/>
      <c r="K109" s="26"/>
      <c r="L109" s="27"/>
      <c r="M109" s="25"/>
    </row>
    <row r="110" spans="1:13" ht="25" x14ac:dyDescent="0.35">
      <c r="A110" s="23" t="s">
        <v>521</v>
      </c>
      <c r="B110" s="24" t="s">
        <v>459</v>
      </c>
      <c r="C110" s="14" t="s">
        <v>50</v>
      </c>
      <c r="D110" s="14" t="s">
        <v>496</v>
      </c>
      <c r="E110" s="14" t="s">
        <v>74</v>
      </c>
      <c r="F110" s="14" t="s">
        <v>522</v>
      </c>
      <c r="G110" s="14" t="s">
        <v>523</v>
      </c>
      <c r="H110" s="14" t="s">
        <v>507</v>
      </c>
      <c r="I110" s="24" t="s">
        <v>63</v>
      </c>
      <c r="J110" s="25"/>
      <c r="K110" s="26"/>
      <c r="L110" s="27"/>
      <c r="M110" s="25"/>
    </row>
    <row r="111" spans="1:13" ht="25" x14ac:dyDescent="0.35">
      <c r="A111" s="23" t="s">
        <v>524</v>
      </c>
      <c r="B111" s="24" t="s">
        <v>459</v>
      </c>
      <c r="C111" s="14" t="s">
        <v>50</v>
      </c>
      <c r="D111" s="14" t="s">
        <v>496</v>
      </c>
      <c r="E111" s="14" t="s">
        <v>74</v>
      </c>
      <c r="F111" s="14" t="s">
        <v>525</v>
      </c>
      <c r="G111" s="14" t="s">
        <v>526</v>
      </c>
      <c r="H111" s="14" t="s">
        <v>527</v>
      </c>
      <c r="I111" s="24" t="s">
        <v>64</v>
      </c>
      <c r="J111" s="25"/>
      <c r="K111" s="26"/>
      <c r="L111" s="27"/>
      <c r="M111" s="25"/>
    </row>
    <row r="112" spans="1:13" ht="25" x14ac:dyDescent="0.35">
      <c r="A112" s="23" t="s">
        <v>528</v>
      </c>
      <c r="B112" s="24" t="s">
        <v>459</v>
      </c>
      <c r="C112" s="14" t="s">
        <v>50</v>
      </c>
      <c r="D112" s="14" t="s">
        <v>496</v>
      </c>
      <c r="E112" s="14" t="s">
        <v>74</v>
      </c>
      <c r="F112" s="14" t="s">
        <v>529</v>
      </c>
      <c r="G112" s="14" t="s">
        <v>530</v>
      </c>
      <c r="H112" s="14" t="s">
        <v>531</v>
      </c>
      <c r="I112" s="24" t="s">
        <v>64</v>
      </c>
      <c r="J112" s="25"/>
      <c r="K112" s="26"/>
      <c r="L112" s="27"/>
      <c r="M112" s="25"/>
    </row>
    <row r="113" spans="1:13" ht="25" x14ac:dyDescent="0.35">
      <c r="A113" s="23" t="s">
        <v>532</v>
      </c>
      <c r="B113" s="24" t="s">
        <v>459</v>
      </c>
      <c r="C113" s="14" t="s">
        <v>50</v>
      </c>
      <c r="D113" s="14" t="s">
        <v>496</v>
      </c>
      <c r="E113" s="14" t="s">
        <v>77</v>
      </c>
      <c r="F113" s="14" t="s">
        <v>533</v>
      </c>
      <c r="G113" s="14" t="s">
        <v>534</v>
      </c>
      <c r="H113" s="14" t="s">
        <v>507</v>
      </c>
      <c r="I113" s="24" t="s">
        <v>64</v>
      </c>
      <c r="J113" s="25"/>
      <c r="K113" s="26"/>
      <c r="L113" s="27"/>
      <c r="M113" s="25"/>
    </row>
    <row r="114" spans="1:13" ht="25" x14ac:dyDescent="0.35">
      <c r="A114" s="23" t="s">
        <v>535</v>
      </c>
      <c r="B114" s="24" t="s">
        <v>459</v>
      </c>
      <c r="C114" s="14" t="s">
        <v>50</v>
      </c>
      <c r="D114" s="14" t="s">
        <v>496</v>
      </c>
      <c r="E114" s="14" t="s">
        <v>75</v>
      </c>
      <c r="F114" s="14" t="s">
        <v>536</v>
      </c>
      <c r="G114" s="14" t="s">
        <v>537</v>
      </c>
      <c r="H114" s="14" t="s">
        <v>507</v>
      </c>
      <c r="I114" s="24" t="s">
        <v>64</v>
      </c>
      <c r="J114" s="25"/>
      <c r="K114" s="26"/>
      <c r="L114" s="27"/>
      <c r="M114" s="25"/>
    </row>
    <row r="115" spans="1:13" ht="25" x14ac:dyDescent="0.35">
      <c r="A115" s="23" t="s">
        <v>538</v>
      </c>
      <c r="B115" s="24" t="s">
        <v>459</v>
      </c>
      <c r="C115" s="14" t="s">
        <v>50</v>
      </c>
      <c r="D115" s="14" t="s">
        <v>496</v>
      </c>
      <c r="E115" s="14" t="s">
        <v>77</v>
      </c>
      <c r="F115" s="14" t="s">
        <v>539</v>
      </c>
      <c r="G115" s="14" t="s">
        <v>540</v>
      </c>
      <c r="H115" s="14" t="s">
        <v>507</v>
      </c>
      <c r="I115" s="24" t="s">
        <v>64</v>
      </c>
      <c r="J115" s="25"/>
      <c r="K115" s="26"/>
      <c r="L115" s="27"/>
      <c r="M115" s="25"/>
    </row>
    <row r="116" spans="1:13" ht="25" x14ac:dyDescent="0.35">
      <c r="A116" s="23" t="s">
        <v>541</v>
      </c>
      <c r="B116" s="24" t="s">
        <v>459</v>
      </c>
      <c r="C116" s="14" t="s">
        <v>50</v>
      </c>
      <c r="D116" s="14" t="s">
        <v>496</v>
      </c>
      <c r="E116" s="14" t="s">
        <v>77</v>
      </c>
      <c r="F116" s="14" t="s">
        <v>542</v>
      </c>
      <c r="G116" s="14" t="s">
        <v>543</v>
      </c>
      <c r="H116" s="14" t="s">
        <v>507</v>
      </c>
      <c r="I116" s="24" t="s">
        <v>65</v>
      </c>
      <c r="J116" s="25"/>
      <c r="K116" s="26"/>
      <c r="L116" s="27"/>
      <c r="M116" s="25"/>
    </row>
    <row r="117" spans="1:13" ht="25" x14ac:dyDescent="0.35">
      <c r="A117" s="23" t="s">
        <v>544</v>
      </c>
      <c r="B117" s="24" t="s">
        <v>459</v>
      </c>
      <c r="C117" s="14" t="s">
        <v>50</v>
      </c>
      <c r="D117" s="14" t="s">
        <v>496</v>
      </c>
      <c r="E117" s="14" t="s">
        <v>71</v>
      </c>
      <c r="F117" s="14" t="s">
        <v>545</v>
      </c>
      <c r="G117" s="14" t="s">
        <v>546</v>
      </c>
      <c r="H117" s="14" t="s">
        <v>507</v>
      </c>
      <c r="I117" s="24" t="s">
        <v>65</v>
      </c>
      <c r="J117" s="25"/>
      <c r="K117" s="26"/>
      <c r="L117" s="27"/>
      <c r="M117" s="25"/>
    </row>
    <row r="118" spans="1:13" ht="25" x14ac:dyDescent="0.35">
      <c r="A118" s="23" t="s">
        <v>547</v>
      </c>
      <c r="B118" s="24" t="s">
        <v>459</v>
      </c>
      <c r="C118" s="14" t="s">
        <v>50</v>
      </c>
      <c r="D118" s="14" t="s">
        <v>496</v>
      </c>
      <c r="E118" s="14" t="s">
        <v>77</v>
      </c>
      <c r="F118" s="14" t="s">
        <v>548</v>
      </c>
      <c r="G118" s="14" t="s">
        <v>549</v>
      </c>
      <c r="H118" s="14" t="s">
        <v>550</v>
      </c>
      <c r="I118" s="24" t="s">
        <v>64</v>
      </c>
      <c r="J118" s="25"/>
      <c r="K118" s="26"/>
      <c r="L118" s="27"/>
      <c r="M118" s="25"/>
    </row>
    <row r="119" spans="1:13" ht="25" x14ac:dyDescent="0.35">
      <c r="A119" s="23" t="s">
        <v>551</v>
      </c>
      <c r="B119" s="24" t="s">
        <v>459</v>
      </c>
      <c r="C119" s="14" t="s">
        <v>50</v>
      </c>
      <c r="D119" s="14" t="s">
        <v>552</v>
      </c>
      <c r="E119" s="14" t="s">
        <v>74</v>
      </c>
      <c r="F119" s="14" t="s">
        <v>553</v>
      </c>
      <c r="G119" s="14" t="s">
        <v>554</v>
      </c>
      <c r="H119" s="14" t="s">
        <v>555</v>
      </c>
      <c r="I119" s="24" t="s">
        <v>64</v>
      </c>
      <c r="J119" s="25"/>
      <c r="K119" s="26"/>
      <c r="L119" s="27"/>
      <c r="M119" s="25"/>
    </row>
    <row r="120" spans="1:13" ht="25" x14ac:dyDescent="0.35">
      <c r="A120" s="23" t="s">
        <v>556</v>
      </c>
      <c r="B120" s="24" t="s">
        <v>459</v>
      </c>
      <c r="C120" s="14" t="s">
        <v>50</v>
      </c>
      <c r="D120" s="14" t="s">
        <v>552</v>
      </c>
      <c r="E120" s="14" t="s">
        <v>74</v>
      </c>
      <c r="F120" s="14" t="s">
        <v>557</v>
      </c>
      <c r="G120" s="14" t="s">
        <v>558</v>
      </c>
      <c r="H120" s="14" t="s">
        <v>559</v>
      </c>
      <c r="I120" s="24" t="s">
        <v>64</v>
      </c>
      <c r="J120" s="25"/>
      <c r="K120" s="26"/>
      <c r="L120" s="27"/>
      <c r="M120" s="25"/>
    </row>
    <row r="121" spans="1:13" ht="25" x14ac:dyDescent="0.35">
      <c r="A121" s="23" t="s">
        <v>560</v>
      </c>
      <c r="B121" s="24" t="s">
        <v>459</v>
      </c>
      <c r="C121" s="14" t="s">
        <v>50</v>
      </c>
      <c r="D121" s="14" t="s">
        <v>561</v>
      </c>
      <c r="E121" s="14" t="s">
        <v>69</v>
      </c>
      <c r="F121" s="14" t="s">
        <v>562</v>
      </c>
      <c r="G121" s="14" t="s">
        <v>563</v>
      </c>
      <c r="H121" s="14" t="s">
        <v>481</v>
      </c>
      <c r="I121" s="24" t="s">
        <v>65</v>
      </c>
      <c r="J121" s="25"/>
      <c r="K121" s="26"/>
      <c r="L121" s="27"/>
      <c r="M121" s="25"/>
    </row>
    <row r="122" spans="1:13" ht="25" x14ac:dyDescent="0.35">
      <c r="A122" s="23" t="s">
        <v>564</v>
      </c>
      <c r="B122" s="24" t="s">
        <v>459</v>
      </c>
      <c r="C122" s="14" t="s">
        <v>50</v>
      </c>
      <c r="D122" s="14" t="s">
        <v>565</v>
      </c>
      <c r="E122" s="14" t="s">
        <v>69</v>
      </c>
      <c r="F122" s="14" t="s">
        <v>566</v>
      </c>
      <c r="G122" s="14" t="s">
        <v>567</v>
      </c>
      <c r="H122" s="14" t="s">
        <v>471</v>
      </c>
      <c r="I122" s="24" t="s">
        <v>64</v>
      </c>
      <c r="J122" s="25"/>
      <c r="K122" s="26"/>
      <c r="L122" s="27"/>
      <c r="M122" s="25"/>
    </row>
    <row r="123" spans="1:13" ht="25" x14ac:dyDescent="0.35">
      <c r="A123" s="23" t="s">
        <v>568</v>
      </c>
      <c r="B123" s="24" t="s">
        <v>459</v>
      </c>
      <c r="C123" s="14" t="s">
        <v>50</v>
      </c>
      <c r="D123" s="14" t="s">
        <v>565</v>
      </c>
      <c r="E123" s="14" t="s">
        <v>69</v>
      </c>
      <c r="F123" s="14" t="s">
        <v>569</v>
      </c>
      <c r="G123" s="14" t="s">
        <v>570</v>
      </c>
      <c r="H123" s="14" t="s">
        <v>471</v>
      </c>
      <c r="I123" s="24" t="s">
        <v>64</v>
      </c>
      <c r="J123" s="25"/>
      <c r="K123" s="26"/>
      <c r="L123" s="27"/>
      <c r="M123" s="25"/>
    </row>
    <row r="124" spans="1:13" ht="37.5" x14ac:dyDescent="0.35">
      <c r="A124" s="23" t="s">
        <v>571</v>
      </c>
      <c r="B124" s="24" t="s">
        <v>459</v>
      </c>
      <c r="C124" s="14" t="s">
        <v>50</v>
      </c>
      <c r="D124" s="14" t="s">
        <v>572</v>
      </c>
      <c r="E124" s="14" t="s">
        <v>69</v>
      </c>
      <c r="F124" s="14" t="s">
        <v>573</v>
      </c>
      <c r="G124" s="14" t="s">
        <v>574</v>
      </c>
      <c r="H124" s="14" t="s">
        <v>575</v>
      </c>
      <c r="I124" s="24" t="s">
        <v>64</v>
      </c>
      <c r="J124" s="25"/>
      <c r="K124" s="26"/>
      <c r="L124" s="27"/>
      <c r="M124" s="25"/>
    </row>
    <row r="125" spans="1:13" ht="25" x14ac:dyDescent="0.35">
      <c r="A125" s="23" t="s">
        <v>576</v>
      </c>
      <c r="B125" s="24" t="s">
        <v>459</v>
      </c>
      <c r="C125" s="14" t="s">
        <v>50</v>
      </c>
      <c r="D125" s="14" t="s">
        <v>572</v>
      </c>
      <c r="E125" s="14" t="s">
        <v>69</v>
      </c>
      <c r="F125" s="14" t="s">
        <v>577</v>
      </c>
      <c r="G125" s="14" t="s">
        <v>578</v>
      </c>
      <c r="H125" s="14" t="s">
        <v>579</v>
      </c>
      <c r="I125" s="24" t="s">
        <v>65</v>
      </c>
      <c r="J125" s="25"/>
      <c r="K125" s="26"/>
      <c r="L125" s="27"/>
      <c r="M125" s="25"/>
    </row>
    <row r="126" spans="1:13" ht="25" x14ac:dyDescent="0.35">
      <c r="A126" s="23" t="s">
        <v>580</v>
      </c>
      <c r="B126" s="24" t="s">
        <v>459</v>
      </c>
      <c r="C126" s="14" t="s">
        <v>50</v>
      </c>
      <c r="D126" s="14" t="s">
        <v>572</v>
      </c>
      <c r="E126" s="14" t="s">
        <v>69</v>
      </c>
      <c r="F126" s="14" t="s">
        <v>581</v>
      </c>
      <c r="G126" s="14" t="s">
        <v>582</v>
      </c>
      <c r="H126" s="14" t="s">
        <v>583</v>
      </c>
      <c r="I126" s="24" t="s">
        <v>65</v>
      </c>
      <c r="J126" s="25"/>
      <c r="K126" s="26"/>
      <c r="L126" s="27"/>
      <c r="M126" s="25"/>
    </row>
    <row r="127" spans="1:13" ht="25" x14ac:dyDescent="0.35">
      <c r="A127" s="23" t="s">
        <v>584</v>
      </c>
      <c r="B127" s="24" t="s">
        <v>459</v>
      </c>
      <c r="C127" s="14" t="s">
        <v>50</v>
      </c>
      <c r="D127" s="14" t="s">
        <v>572</v>
      </c>
      <c r="E127" s="14" t="s">
        <v>69</v>
      </c>
      <c r="F127" s="14" t="s">
        <v>585</v>
      </c>
      <c r="G127" s="14" t="s">
        <v>586</v>
      </c>
      <c r="H127" s="14" t="s">
        <v>587</v>
      </c>
      <c r="I127" s="24" t="s">
        <v>65</v>
      </c>
      <c r="J127" s="25"/>
      <c r="K127" s="26"/>
      <c r="L127" s="27"/>
      <c r="M127" s="25"/>
    </row>
    <row r="128" spans="1:13" ht="25" x14ac:dyDescent="0.35">
      <c r="A128" s="23" t="s">
        <v>588</v>
      </c>
      <c r="B128" s="24" t="s">
        <v>459</v>
      </c>
      <c r="C128" s="14" t="s">
        <v>50</v>
      </c>
      <c r="D128" s="14" t="s">
        <v>589</v>
      </c>
      <c r="E128" s="14" t="s">
        <v>74</v>
      </c>
      <c r="F128" s="14" t="s">
        <v>590</v>
      </c>
      <c r="G128" s="14" t="s">
        <v>591</v>
      </c>
      <c r="H128" s="14" t="s">
        <v>592</v>
      </c>
      <c r="I128" s="24" t="s">
        <v>64</v>
      </c>
      <c r="J128" s="25"/>
      <c r="K128" s="26"/>
      <c r="L128" s="27"/>
      <c r="M128" s="25"/>
    </row>
    <row r="129" spans="1:13" ht="25" x14ac:dyDescent="0.35">
      <c r="A129" s="23" t="s">
        <v>593</v>
      </c>
      <c r="B129" s="24" t="s">
        <v>459</v>
      </c>
      <c r="C129" s="14" t="s">
        <v>50</v>
      </c>
      <c r="D129" s="14" t="s">
        <v>594</v>
      </c>
      <c r="E129" s="14" t="s">
        <v>69</v>
      </c>
      <c r="F129" s="14" t="s">
        <v>595</v>
      </c>
      <c r="G129" s="14" t="s">
        <v>596</v>
      </c>
      <c r="H129" s="14" t="s">
        <v>471</v>
      </c>
      <c r="I129" s="24" t="s">
        <v>64</v>
      </c>
      <c r="J129" s="25"/>
      <c r="K129" s="26"/>
      <c r="L129" s="27"/>
      <c r="M129" s="25"/>
    </row>
    <row r="130" spans="1:13" ht="25" x14ac:dyDescent="0.35">
      <c r="A130" s="23" t="s">
        <v>597</v>
      </c>
      <c r="B130" s="24" t="s">
        <v>459</v>
      </c>
      <c r="C130" s="14" t="s">
        <v>51</v>
      </c>
      <c r="D130" s="14" t="s">
        <v>598</v>
      </c>
      <c r="E130" s="14" t="s">
        <v>71</v>
      </c>
      <c r="F130" s="14" t="s">
        <v>599</v>
      </c>
      <c r="G130" s="14" t="s">
        <v>600</v>
      </c>
      <c r="H130" s="14" t="s">
        <v>601</v>
      </c>
      <c r="I130" s="24" t="s">
        <v>63</v>
      </c>
      <c r="J130" s="25"/>
      <c r="K130" s="26"/>
      <c r="L130" s="27"/>
      <c r="M130" s="25"/>
    </row>
    <row r="131" spans="1:13" ht="25" x14ac:dyDescent="0.35">
      <c r="A131" s="23" t="s">
        <v>602</v>
      </c>
      <c r="B131" s="24" t="s">
        <v>459</v>
      </c>
      <c r="C131" s="14" t="s">
        <v>51</v>
      </c>
      <c r="D131" s="14" t="s">
        <v>598</v>
      </c>
      <c r="E131" s="14" t="s">
        <v>78</v>
      </c>
      <c r="F131" s="14" t="s">
        <v>603</v>
      </c>
      <c r="G131" s="14" t="s">
        <v>604</v>
      </c>
      <c r="H131" s="14" t="s">
        <v>605</v>
      </c>
      <c r="I131" s="24" t="s">
        <v>64</v>
      </c>
      <c r="J131" s="25"/>
      <c r="K131" s="26"/>
      <c r="L131" s="27"/>
      <c r="M131" s="25"/>
    </row>
    <row r="132" spans="1:13" ht="25" x14ac:dyDescent="0.35">
      <c r="A132" s="23" t="s">
        <v>606</v>
      </c>
      <c r="B132" s="24" t="s">
        <v>459</v>
      </c>
      <c r="C132" s="14" t="s">
        <v>51</v>
      </c>
      <c r="D132" s="14" t="s">
        <v>607</v>
      </c>
      <c r="E132" s="14" t="s">
        <v>78</v>
      </c>
      <c r="F132" s="14" t="s">
        <v>608</v>
      </c>
      <c r="G132" s="14" t="s">
        <v>609</v>
      </c>
      <c r="H132" s="14" t="s">
        <v>610</v>
      </c>
      <c r="I132" s="24" t="s">
        <v>64</v>
      </c>
      <c r="J132" s="25"/>
      <c r="K132" s="26"/>
      <c r="L132" s="27"/>
      <c r="M132" s="25"/>
    </row>
    <row r="133" spans="1:13" ht="25" x14ac:dyDescent="0.35">
      <c r="A133" s="23" t="s">
        <v>611</v>
      </c>
      <c r="B133" s="24" t="s">
        <v>459</v>
      </c>
      <c r="C133" s="14" t="s">
        <v>51</v>
      </c>
      <c r="D133" s="14" t="s">
        <v>598</v>
      </c>
      <c r="E133" s="14" t="s">
        <v>78</v>
      </c>
      <c r="F133" s="14" t="s">
        <v>612</v>
      </c>
      <c r="G133" s="14" t="s">
        <v>613</v>
      </c>
      <c r="H133" s="14" t="s">
        <v>614</v>
      </c>
      <c r="I133" s="24" t="s">
        <v>64</v>
      </c>
      <c r="J133" s="25"/>
      <c r="K133" s="26"/>
      <c r="L133" s="27"/>
      <c r="M133" s="25"/>
    </row>
    <row r="134" spans="1:13" ht="25" x14ac:dyDescent="0.35">
      <c r="A134" s="23" t="s">
        <v>615</v>
      </c>
      <c r="B134" s="24" t="s">
        <v>459</v>
      </c>
      <c r="C134" s="14" t="s">
        <v>51</v>
      </c>
      <c r="D134" s="14" t="s">
        <v>290</v>
      </c>
      <c r="E134" s="14" t="s">
        <v>74</v>
      </c>
      <c r="F134" s="14" t="s">
        <v>616</v>
      </c>
      <c r="G134" s="14" t="s">
        <v>617</v>
      </c>
      <c r="H134" s="14" t="s">
        <v>268</v>
      </c>
      <c r="I134" s="24" t="s">
        <v>64</v>
      </c>
      <c r="J134" s="25"/>
      <c r="K134" s="26"/>
      <c r="L134" s="27"/>
      <c r="M134" s="25"/>
    </row>
    <row r="135" spans="1:13" ht="25" x14ac:dyDescent="0.35">
      <c r="A135" s="23" t="s">
        <v>618</v>
      </c>
      <c r="B135" s="24" t="s">
        <v>459</v>
      </c>
      <c r="C135" s="14" t="s">
        <v>51</v>
      </c>
      <c r="D135" s="14" t="s">
        <v>619</v>
      </c>
      <c r="E135" s="14" t="s">
        <v>75</v>
      </c>
      <c r="F135" s="14" t="s">
        <v>620</v>
      </c>
      <c r="G135" s="14" t="s">
        <v>621</v>
      </c>
      <c r="H135" s="14" t="s">
        <v>620</v>
      </c>
      <c r="I135" s="24" t="s">
        <v>64</v>
      </c>
      <c r="J135" s="25"/>
      <c r="K135" s="26"/>
      <c r="L135" s="27"/>
      <c r="M135" s="25"/>
    </row>
    <row r="136" spans="1:13" ht="25" x14ac:dyDescent="0.35">
      <c r="A136" s="23" t="s">
        <v>622</v>
      </c>
      <c r="B136" s="24" t="s">
        <v>459</v>
      </c>
      <c r="C136" s="14" t="s">
        <v>51</v>
      </c>
      <c r="D136" s="14" t="s">
        <v>598</v>
      </c>
      <c r="E136" s="14" t="s">
        <v>78</v>
      </c>
      <c r="F136" s="14" t="s">
        <v>623</v>
      </c>
      <c r="G136" s="14" t="s">
        <v>624</v>
      </c>
      <c r="H136" s="14" t="s">
        <v>625</v>
      </c>
      <c r="I136" s="24" t="s">
        <v>63</v>
      </c>
      <c r="J136" s="25"/>
      <c r="K136" s="26"/>
      <c r="L136" s="27"/>
      <c r="M136" s="25"/>
    </row>
    <row r="137" spans="1:13" ht="25" x14ac:dyDescent="0.35">
      <c r="A137" s="23" t="s">
        <v>626</v>
      </c>
      <c r="B137" s="24" t="s">
        <v>459</v>
      </c>
      <c r="C137" s="14" t="s">
        <v>51</v>
      </c>
      <c r="D137" s="14" t="s">
        <v>598</v>
      </c>
      <c r="E137" s="14" t="s">
        <v>78</v>
      </c>
      <c r="F137" s="14" t="s">
        <v>627</v>
      </c>
      <c r="G137" s="14" t="s">
        <v>628</v>
      </c>
      <c r="H137" s="14" t="s">
        <v>629</v>
      </c>
      <c r="I137" s="24" t="s">
        <v>64</v>
      </c>
      <c r="J137" s="25"/>
      <c r="K137" s="26"/>
      <c r="L137" s="27"/>
      <c r="M137" s="25"/>
    </row>
    <row r="138" spans="1:13" ht="25" x14ac:dyDescent="0.35">
      <c r="A138" s="23" t="s">
        <v>630</v>
      </c>
      <c r="B138" s="24" t="s">
        <v>459</v>
      </c>
      <c r="C138" s="14" t="s">
        <v>51</v>
      </c>
      <c r="D138" s="14" t="s">
        <v>598</v>
      </c>
      <c r="E138" s="14" t="s">
        <v>78</v>
      </c>
      <c r="F138" s="14" t="s">
        <v>631</v>
      </c>
      <c r="G138" s="14" t="s">
        <v>632</v>
      </c>
      <c r="H138" s="14" t="s">
        <v>625</v>
      </c>
      <c r="I138" s="24" t="s">
        <v>63</v>
      </c>
      <c r="J138" s="25"/>
      <c r="K138" s="26"/>
      <c r="L138" s="27"/>
      <c r="M138" s="25"/>
    </row>
    <row r="139" spans="1:13" ht="25" x14ac:dyDescent="0.35">
      <c r="A139" s="23" t="s">
        <v>633</v>
      </c>
      <c r="B139" s="24" t="s">
        <v>459</v>
      </c>
      <c r="C139" s="14" t="s">
        <v>51</v>
      </c>
      <c r="D139" s="14" t="s">
        <v>598</v>
      </c>
      <c r="E139" s="14" t="s">
        <v>71</v>
      </c>
      <c r="F139" s="14" t="s">
        <v>634</v>
      </c>
      <c r="G139" s="14" t="s">
        <v>635</v>
      </c>
      <c r="H139" s="14" t="s">
        <v>601</v>
      </c>
      <c r="I139" s="24" t="s">
        <v>65</v>
      </c>
      <c r="J139" s="25"/>
      <c r="K139" s="26"/>
      <c r="L139" s="27"/>
      <c r="M139" s="25"/>
    </row>
    <row r="140" spans="1:13" ht="25" x14ac:dyDescent="0.35">
      <c r="A140" s="23" t="s">
        <v>636</v>
      </c>
      <c r="B140" s="24" t="s">
        <v>459</v>
      </c>
      <c r="C140" s="14" t="s">
        <v>51</v>
      </c>
      <c r="D140" s="14" t="s">
        <v>637</v>
      </c>
      <c r="E140" s="14" t="s">
        <v>79</v>
      </c>
      <c r="F140" s="14" t="s">
        <v>638</v>
      </c>
      <c r="G140" s="14" t="s">
        <v>639</v>
      </c>
      <c r="H140" s="14" t="s">
        <v>640</v>
      </c>
      <c r="I140" s="24" t="s">
        <v>64</v>
      </c>
      <c r="J140" s="25"/>
      <c r="K140" s="26"/>
      <c r="L140" s="27"/>
      <c r="M140" s="25"/>
    </row>
    <row r="141" spans="1:13" ht="25" x14ac:dyDescent="0.35">
      <c r="A141" s="23" t="s">
        <v>641</v>
      </c>
      <c r="B141" s="24" t="s">
        <v>459</v>
      </c>
      <c r="C141" s="14" t="s">
        <v>51</v>
      </c>
      <c r="D141" s="14" t="s">
        <v>637</v>
      </c>
      <c r="E141" s="14" t="s">
        <v>71</v>
      </c>
      <c r="F141" s="14" t="s">
        <v>642</v>
      </c>
      <c r="G141" s="14" t="s">
        <v>643</v>
      </c>
      <c r="H141" s="14" t="s">
        <v>644</v>
      </c>
      <c r="I141" s="24" t="s">
        <v>65</v>
      </c>
      <c r="J141" s="25"/>
      <c r="K141" s="26"/>
      <c r="L141" s="27"/>
      <c r="M141" s="25"/>
    </row>
    <row r="142" spans="1:13" ht="25" x14ac:dyDescent="0.35">
      <c r="A142" s="23" t="s">
        <v>645</v>
      </c>
      <c r="B142" s="24" t="s">
        <v>459</v>
      </c>
      <c r="C142" s="14" t="s">
        <v>51</v>
      </c>
      <c r="D142" s="14" t="s">
        <v>257</v>
      </c>
      <c r="E142" s="14" t="s">
        <v>76</v>
      </c>
      <c r="F142" s="14" t="s">
        <v>646</v>
      </c>
      <c r="G142" s="14" t="s">
        <v>647</v>
      </c>
      <c r="H142" s="14" t="s">
        <v>648</v>
      </c>
      <c r="I142" s="24" t="s">
        <v>64</v>
      </c>
      <c r="J142" s="25"/>
      <c r="K142" s="26"/>
      <c r="L142" s="27"/>
      <c r="M142" s="25"/>
    </row>
    <row r="143" spans="1:13" ht="25" x14ac:dyDescent="0.35">
      <c r="A143" s="23" t="s">
        <v>649</v>
      </c>
      <c r="B143" s="24" t="s">
        <v>459</v>
      </c>
      <c r="C143" s="14" t="s">
        <v>51</v>
      </c>
      <c r="D143" s="14" t="s">
        <v>619</v>
      </c>
      <c r="E143" s="14" t="s">
        <v>69</v>
      </c>
      <c r="F143" s="14" t="s">
        <v>650</v>
      </c>
      <c r="G143" s="14" t="s">
        <v>651</v>
      </c>
      <c r="H143" s="14" t="s">
        <v>652</v>
      </c>
      <c r="I143" s="24" t="s">
        <v>65</v>
      </c>
      <c r="J143" s="25"/>
      <c r="K143" s="26"/>
      <c r="L143" s="27"/>
      <c r="M143" s="25"/>
    </row>
    <row r="144" spans="1:13" ht="25" x14ac:dyDescent="0.35">
      <c r="A144" s="23" t="s">
        <v>653</v>
      </c>
      <c r="B144" s="24" t="s">
        <v>459</v>
      </c>
      <c r="C144" s="14" t="s">
        <v>51</v>
      </c>
      <c r="D144" s="14" t="s">
        <v>607</v>
      </c>
      <c r="E144" s="14" t="s">
        <v>78</v>
      </c>
      <c r="F144" s="14" t="s">
        <v>654</v>
      </c>
      <c r="G144" s="14" t="s">
        <v>655</v>
      </c>
      <c r="H144" s="14" t="s">
        <v>605</v>
      </c>
      <c r="I144" s="24" t="s">
        <v>64</v>
      </c>
      <c r="J144" s="25"/>
      <c r="K144" s="26"/>
      <c r="L144" s="27"/>
      <c r="M144" s="25"/>
    </row>
    <row r="145" spans="1:13" ht="25" x14ac:dyDescent="0.35">
      <c r="A145" s="23" t="s">
        <v>656</v>
      </c>
      <c r="B145" s="24" t="s">
        <v>459</v>
      </c>
      <c r="C145" s="14" t="s">
        <v>52</v>
      </c>
      <c r="D145" s="14" t="s">
        <v>657</v>
      </c>
      <c r="E145" s="14" t="s">
        <v>74</v>
      </c>
      <c r="F145" s="14" t="s">
        <v>658</v>
      </c>
      <c r="G145" s="14" t="s">
        <v>659</v>
      </c>
      <c r="H145" s="14" t="s">
        <v>660</v>
      </c>
      <c r="I145" s="24" t="s">
        <v>65</v>
      </c>
      <c r="J145" s="25"/>
      <c r="K145" s="26"/>
      <c r="L145" s="27"/>
      <c r="M145" s="25"/>
    </row>
    <row r="146" spans="1:13" ht="25" x14ac:dyDescent="0.35">
      <c r="A146" s="23" t="s">
        <v>661</v>
      </c>
      <c r="B146" s="24" t="s">
        <v>459</v>
      </c>
      <c r="C146" s="14" t="s">
        <v>52</v>
      </c>
      <c r="D146" s="14" t="s">
        <v>657</v>
      </c>
      <c r="E146" s="14" t="s">
        <v>74</v>
      </c>
      <c r="F146" s="14" t="s">
        <v>662</v>
      </c>
      <c r="G146" s="14" t="s">
        <v>663</v>
      </c>
      <c r="H146" s="14" t="s">
        <v>381</v>
      </c>
      <c r="I146" s="24" t="s">
        <v>65</v>
      </c>
      <c r="J146" s="25"/>
      <c r="K146" s="26"/>
      <c r="L146" s="27"/>
      <c r="M146" s="25"/>
    </row>
    <row r="147" spans="1:13" x14ac:dyDescent="0.35">
      <c r="A147" s="23" t="s">
        <v>664</v>
      </c>
      <c r="B147" s="24" t="s">
        <v>459</v>
      </c>
      <c r="C147" s="14" t="s">
        <v>52</v>
      </c>
      <c r="D147" s="14" t="s">
        <v>665</v>
      </c>
      <c r="E147" s="14" t="s">
        <v>80</v>
      </c>
      <c r="F147" s="14" t="s">
        <v>666</v>
      </c>
      <c r="G147" s="14" t="s">
        <v>667</v>
      </c>
      <c r="H147" s="14" t="s">
        <v>178</v>
      </c>
      <c r="I147" s="24" t="s">
        <v>64</v>
      </c>
      <c r="J147" s="25"/>
      <c r="K147" s="26"/>
      <c r="L147" s="27"/>
      <c r="M147" s="25"/>
    </row>
    <row r="148" spans="1:13" ht="25" x14ac:dyDescent="0.35">
      <c r="A148" s="23" t="s">
        <v>668</v>
      </c>
      <c r="B148" s="24" t="s">
        <v>459</v>
      </c>
      <c r="C148" s="14" t="s">
        <v>52</v>
      </c>
      <c r="D148" s="14" t="s">
        <v>665</v>
      </c>
      <c r="E148" s="14" t="s">
        <v>81</v>
      </c>
      <c r="F148" s="14" t="s">
        <v>669</v>
      </c>
      <c r="G148" s="14" t="s">
        <v>670</v>
      </c>
      <c r="H148" s="14" t="s">
        <v>671</v>
      </c>
      <c r="I148" s="24" t="s">
        <v>64</v>
      </c>
      <c r="J148" s="25"/>
      <c r="K148" s="26"/>
      <c r="L148" s="27"/>
      <c r="M148" s="25"/>
    </row>
    <row r="149" spans="1:13" ht="25" x14ac:dyDescent="0.35">
      <c r="A149" s="23" t="s">
        <v>672</v>
      </c>
      <c r="B149" s="24" t="s">
        <v>459</v>
      </c>
      <c r="C149" s="14" t="s">
        <v>52</v>
      </c>
      <c r="D149" s="14" t="s">
        <v>665</v>
      </c>
      <c r="E149" s="14" t="s">
        <v>82</v>
      </c>
      <c r="F149" s="14" t="s">
        <v>673</v>
      </c>
      <c r="G149" s="14" t="s">
        <v>674</v>
      </c>
      <c r="H149" s="14" t="s">
        <v>675</v>
      </c>
      <c r="I149" s="24" t="s">
        <v>64</v>
      </c>
      <c r="J149" s="25"/>
      <c r="K149" s="26"/>
      <c r="L149" s="27"/>
      <c r="M149" s="25"/>
    </row>
    <row r="150" spans="1:13" ht="25" x14ac:dyDescent="0.35">
      <c r="A150" s="23" t="s">
        <v>676</v>
      </c>
      <c r="B150" s="24" t="s">
        <v>677</v>
      </c>
      <c r="C150" s="14" t="s">
        <v>53</v>
      </c>
      <c r="D150" s="14" t="s">
        <v>678</v>
      </c>
      <c r="E150" s="14" t="s">
        <v>72</v>
      </c>
      <c r="F150" s="14" t="s">
        <v>679</v>
      </c>
      <c r="G150" s="14" t="s">
        <v>680</v>
      </c>
      <c r="H150" s="14" t="s">
        <v>605</v>
      </c>
      <c r="I150" s="24" t="s">
        <v>63</v>
      </c>
      <c r="J150" s="25"/>
      <c r="K150" s="26"/>
      <c r="L150" s="27"/>
      <c r="M150" s="25"/>
    </row>
    <row r="151" spans="1:13" ht="25" x14ac:dyDescent="0.35">
      <c r="A151" s="23" t="s">
        <v>681</v>
      </c>
      <c r="B151" s="24" t="s">
        <v>677</v>
      </c>
      <c r="C151" s="14" t="s">
        <v>53</v>
      </c>
      <c r="D151" s="14" t="s">
        <v>678</v>
      </c>
      <c r="E151" s="14" t="s">
        <v>72</v>
      </c>
      <c r="F151" s="14" t="s">
        <v>682</v>
      </c>
      <c r="G151" s="14" t="s">
        <v>683</v>
      </c>
      <c r="H151" s="14" t="s">
        <v>605</v>
      </c>
      <c r="I151" s="24" t="s">
        <v>63</v>
      </c>
      <c r="J151" s="25"/>
      <c r="K151" s="26"/>
      <c r="L151" s="27"/>
      <c r="M151" s="25"/>
    </row>
    <row r="152" spans="1:13" ht="25" x14ac:dyDescent="0.35">
      <c r="A152" s="23" t="s">
        <v>684</v>
      </c>
      <c r="B152" s="24" t="s">
        <v>677</v>
      </c>
      <c r="C152" s="14" t="s">
        <v>53</v>
      </c>
      <c r="D152" s="14" t="s">
        <v>678</v>
      </c>
      <c r="E152" s="14" t="s">
        <v>72</v>
      </c>
      <c r="F152" s="14" t="s">
        <v>685</v>
      </c>
      <c r="G152" s="14" t="s">
        <v>686</v>
      </c>
      <c r="H152" s="14" t="s">
        <v>687</v>
      </c>
      <c r="I152" s="24" t="s">
        <v>64</v>
      </c>
      <c r="J152" s="25"/>
      <c r="K152" s="26"/>
      <c r="L152" s="27"/>
      <c r="M152" s="25"/>
    </row>
    <row r="153" spans="1:13" ht="25" x14ac:dyDescent="0.35">
      <c r="A153" s="23" t="s">
        <v>688</v>
      </c>
      <c r="B153" s="24" t="s">
        <v>677</v>
      </c>
      <c r="C153" s="14" t="s">
        <v>53</v>
      </c>
      <c r="D153" s="14" t="s">
        <v>678</v>
      </c>
      <c r="E153" s="14" t="s">
        <v>72</v>
      </c>
      <c r="F153" s="14" t="s">
        <v>689</v>
      </c>
      <c r="G153" s="14" t="s">
        <v>690</v>
      </c>
      <c r="H153" s="14" t="s">
        <v>687</v>
      </c>
      <c r="I153" s="24" t="s">
        <v>65</v>
      </c>
      <c r="J153" s="25"/>
      <c r="K153" s="26"/>
      <c r="L153" s="27"/>
      <c r="M153" s="25"/>
    </row>
    <row r="154" spans="1:13" ht="25" x14ac:dyDescent="0.35">
      <c r="A154" s="23" t="s">
        <v>691</v>
      </c>
      <c r="B154" s="24" t="s">
        <v>677</v>
      </c>
      <c r="C154" s="14" t="s">
        <v>53</v>
      </c>
      <c r="D154" s="14" t="s">
        <v>678</v>
      </c>
      <c r="E154" s="14" t="s">
        <v>75</v>
      </c>
      <c r="F154" s="14" t="s">
        <v>692</v>
      </c>
      <c r="G154" s="14" t="s">
        <v>693</v>
      </c>
      <c r="H154" s="14" t="s">
        <v>694</v>
      </c>
      <c r="I154" s="24" t="s">
        <v>64</v>
      </c>
      <c r="J154" s="25"/>
      <c r="K154" s="26"/>
      <c r="L154" s="27"/>
      <c r="M154" s="25"/>
    </row>
    <row r="155" spans="1:13" ht="25" x14ac:dyDescent="0.35">
      <c r="A155" s="23" t="s">
        <v>695</v>
      </c>
      <c r="B155" s="24" t="s">
        <v>677</v>
      </c>
      <c r="C155" s="14" t="s">
        <v>53</v>
      </c>
      <c r="D155" s="14" t="s">
        <v>678</v>
      </c>
      <c r="E155" s="14" t="s">
        <v>69</v>
      </c>
      <c r="F155" s="14" t="s">
        <v>696</v>
      </c>
      <c r="G155" s="14" t="s">
        <v>697</v>
      </c>
      <c r="H155" s="14" t="s">
        <v>118</v>
      </c>
      <c r="I155" s="24" t="s">
        <v>64</v>
      </c>
      <c r="J155" s="25"/>
      <c r="K155" s="26"/>
      <c r="L155" s="27"/>
      <c r="M155" s="25"/>
    </row>
    <row r="156" spans="1:13" ht="25" x14ac:dyDescent="0.35">
      <c r="A156" s="23" t="s">
        <v>698</v>
      </c>
      <c r="B156" s="24" t="s">
        <v>677</v>
      </c>
      <c r="C156" s="14" t="s">
        <v>53</v>
      </c>
      <c r="D156" s="14" t="s">
        <v>699</v>
      </c>
      <c r="E156" s="14" t="s">
        <v>72</v>
      </c>
      <c r="F156" s="14" t="s">
        <v>700</v>
      </c>
      <c r="G156" s="14" t="s">
        <v>701</v>
      </c>
      <c r="H156" s="14" t="s">
        <v>702</v>
      </c>
      <c r="I156" s="24" t="s">
        <v>64</v>
      </c>
      <c r="J156" s="25"/>
      <c r="K156" s="26"/>
      <c r="L156" s="27"/>
      <c r="M156" s="25"/>
    </row>
    <row r="157" spans="1:13" ht="25" x14ac:dyDescent="0.35">
      <c r="A157" s="23" t="s">
        <v>703</v>
      </c>
      <c r="B157" s="24" t="s">
        <v>677</v>
      </c>
      <c r="C157" s="14" t="s">
        <v>53</v>
      </c>
      <c r="D157" s="14" t="s">
        <v>699</v>
      </c>
      <c r="E157" s="14" t="s">
        <v>75</v>
      </c>
      <c r="F157" s="14" t="s">
        <v>704</v>
      </c>
      <c r="G157" s="14" t="s">
        <v>705</v>
      </c>
      <c r="H157" s="14" t="s">
        <v>706</v>
      </c>
      <c r="I157" s="24" t="s">
        <v>64</v>
      </c>
      <c r="J157" s="25"/>
      <c r="K157" s="26"/>
      <c r="L157" s="27"/>
      <c r="M157" s="25"/>
    </row>
    <row r="158" spans="1:13" ht="25" x14ac:dyDescent="0.35">
      <c r="A158" s="23" t="s">
        <v>707</v>
      </c>
      <c r="B158" s="24" t="s">
        <v>677</v>
      </c>
      <c r="C158" s="14" t="s">
        <v>53</v>
      </c>
      <c r="D158" s="14" t="s">
        <v>607</v>
      </c>
      <c r="E158" s="14" t="s">
        <v>77</v>
      </c>
      <c r="F158" s="14" t="s">
        <v>708</v>
      </c>
      <c r="G158" s="14" t="s">
        <v>709</v>
      </c>
      <c r="H158" s="14" t="s">
        <v>652</v>
      </c>
      <c r="I158" s="24" t="s">
        <v>65</v>
      </c>
      <c r="J158" s="25"/>
      <c r="K158" s="26"/>
      <c r="L158" s="27"/>
      <c r="M158" s="25"/>
    </row>
    <row r="159" spans="1:13" ht="25" x14ac:dyDescent="0.35">
      <c r="A159" s="23" t="s">
        <v>710</v>
      </c>
      <c r="B159" s="24" t="s">
        <v>677</v>
      </c>
      <c r="C159" s="14" t="s">
        <v>53</v>
      </c>
      <c r="D159" s="14" t="s">
        <v>607</v>
      </c>
      <c r="E159" s="14" t="s">
        <v>75</v>
      </c>
      <c r="F159" s="14" t="s">
        <v>711</v>
      </c>
      <c r="G159" s="14" t="s">
        <v>712</v>
      </c>
      <c r="H159" s="14" t="s">
        <v>713</v>
      </c>
      <c r="I159" s="24" t="s">
        <v>65</v>
      </c>
      <c r="J159" s="25"/>
      <c r="K159" s="26"/>
      <c r="L159" s="27"/>
      <c r="M159" s="25"/>
    </row>
    <row r="160" spans="1:13" ht="25" x14ac:dyDescent="0.35">
      <c r="A160" s="23" t="s">
        <v>714</v>
      </c>
      <c r="B160" s="24" t="s">
        <v>677</v>
      </c>
      <c r="C160" s="14" t="s">
        <v>53</v>
      </c>
      <c r="D160" s="14" t="s">
        <v>607</v>
      </c>
      <c r="E160" s="14" t="s">
        <v>69</v>
      </c>
      <c r="F160" s="14" t="s">
        <v>715</v>
      </c>
      <c r="G160" s="14" t="s">
        <v>716</v>
      </c>
      <c r="H160" s="14" t="s">
        <v>717</v>
      </c>
      <c r="I160" s="24" t="s">
        <v>65</v>
      </c>
      <c r="J160" s="25"/>
      <c r="K160" s="26"/>
      <c r="L160" s="27"/>
      <c r="M160" s="25"/>
    </row>
    <row r="161" spans="1:13" ht="25" x14ac:dyDescent="0.35">
      <c r="A161" s="23" t="s">
        <v>718</v>
      </c>
      <c r="B161" s="24" t="s">
        <v>677</v>
      </c>
      <c r="C161" s="14" t="s">
        <v>53</v>
      </c>
      <c r="D161" s="14" t="s">
        <v>719</v>
      </c>
      <c r="E161" s="14" t="s">
        <v>76</v>
      </c>
      <c r="F161" s="14" t="s">
        <v>720</v>
      </c>
      <c r="G161" s="14" t="s">
        <v>721</v>
      </c>
      <c r="H161" s="14" t="s">
        <v>722</v>
      </c>
      <c r="I161" s="24" t="s">
        <v>64</v>
      </c>
      <c r="J161" s="25"/>
      <c r="K161" s="26"/>
      <c r="L161" s="27"/>
      <c r="M161" s="25"/>
    </row>
    <row r="162" spans="1:13" ht="25" x14ac:dyDescent="0.35">
      <c r="A162" s="23" t="s">
        <v>723</v>
      </c>
      <c r="B162" s="24" t="s">
        <v>677</v>
      </c>
      <c r="C162" s="14" t="s">
        <v>53</v>
      </c>
      <c r="D162" s="14" t="s">
        <v>724</v>
      </c>
      <c r="E162" s="14" t="s">
        <v>76</v>
      </c>
      <c r="F162" s="14" t="s">
        <v>725</v>
      </c>
      <c r="G162" s="14" t="s">
        <v>726</v>
      </c>
      <c r="H162" s="14" t="s">
        <v>727</v>
      </c>
      <c r="I162" s="24" t="s">
        <v>64</v>
      </c>
      <c r="J162" s="25"/>
      <c r="K162" s="26"/>
      <c r="L162" s="27"/>
      <c r="M162" s="25"/>
    </row>
    <row r="163" spans="1:13" ht="25" x14ac:dyDescent="0.35">
      <c r="A163" s="23" t="s">
        <v>728</v>
      </c>
      <c r="B163" s="24" t="s">
        <v>677</v>
      </c>
      <c r="C163" s="14" t="s">
        <v>53</v>
      </c>
      <c r="D163" s="14" t="s">
        <v>729</v>
      </c>
      <c r="E163" s="14" t="s">
        <v>75</v>
      </c>
      <c r="F163" s="14" t="s">
        <v>730</v>
      </c>
      <c r="G163" s="14" t="s">
        <v>731</v>
      </c>
      <c r="H163" s="14" t="s">
        <v>713</v>
      </c>
      <c r="I163" s="24" t="s">
        <v>64</v>
      </c>
      <c r="J163" s="25"/>
      <c r="K163" s="26"/>
      <c r="L163" s="27"/>
      <c r="M163" s="25"/>
    </row>
    <row r="164" spans="1:13" ht="25" x14ac:dyDescent="0.35">
      <c r="A164" s="23" t="s">
        <v>732</v>
      </c>
      <c r="B164" s="24" t="s">
        <v>677</v>
      </c>
      <c r="C164" s="14" t="s">
        <v>53</v>
      </c>
      <c r="D164" s="14" t="s">
        <v>285</v>
      </c>
      <c r="E164" s="14" t="s">
        <v>69</v>
      </c>
      <c r="F164" s="14" t="s">
        <v>733</v>
      </c>
      <c r="G164" s="14" t="s">
        <v>734</v>
      </c>
      <c r="H164" s="14" t="s">
        <v>381</v>
      </c>
      <c r="I164" s="24" t="s">
        <v>65</v>
      </c>
      <c r="J164" s="25"/>
      <c r="K164" s="26"/>
      <c r="L164" s="27"/>
      <c r="M164" s="25"/>
    </row>
    <row r="165" spans="1:13" ht="25" x14ac:dyDescent="0.35">
      <c r="A165" s="23" t="s">
        <v>735</v>
      </c>
      <c r="B165" s="24" t="s">
        <v>736</v>
      </c>
      <c r="C165" s="14" t="s">
        <v>54</v>
      </c>
      <c r="D165" s="14" t="s">
        <v>737</v>
      </c>
      <c r="E165" s="14" t="s">
        <v>76</v>
      </c>
      <c r="F165" s="14" t="s">
        <v>738</v>
      </c>
      <c r="G165" s="14" t="s">
        <v>739</v>
      </c>
      <c r="H165" s="14" t="s">
        <v>740</v>
      </c>
      <c r="I165" s="24" t="s">
        <v>63</v>
      </c>
      <c r="J165" s="25"/>
      <c r="K165" s="26"/>
      <c r="L165" s="27"/>
      <c r="M165" s="25"/>
    </row>
    <row r="166" spans="1:13" ht="25" x14ac:dyDescent="0.35">
      <c r="A166" s="23" t="s">
        <v>741</v>
      </c>
      <c r="B166" s="24" t="s">
        <v>736</v>
      </c>
      <c r="C166" s="14" t="s">
        <v>54</v>
      </c>
      <c r="D166" s="14" t="s">
        <v>737</v>
      </c>
      <c r="E166" s="14" t="s">
        <v>76</v>
      </c>
      <c r="F166" s="14" t="s">
        <v>742</v>
      </c>
      <c r="G166" s="14" t="s">
        <v>743</v>
      </c>
      <c r="H166" s="14" t="s">
        <v>744</v>
      </c>
      <c r="I166" s="24" t="s">
        <v>64</v>
      </c>
      <c r="J166" s="25"/>
      <c r="K166" s="26"/>
      <c r="L166" s="27"/>
      <c r="M166" s="25"/>
    </row>
    <row r="167" spans="1:13" ht="25" x14ac:dyDescent="0.35">
      <c r="A167" s="23" t="s">
        <v>745</v>
      </c>
      <c r="B167" s="24" t="s">
        <v>736</v>
      </c>
      <c r="C167" s="14" t="s">
        <v>54</v>
      </c>
      <c r="D167" s="14" t="s">
        <v>737</v>
      </c>
      <c r="E167" s="14" t="s">
        <v>69</v>
      </c>
      <c r="F167" s="14" t="s">
        <v>746</v>
      </c>
      <c r="G167" s="14" t="s">
        <v>747</v>
      </c>
      <c r="H167" s="14" t="s">
        <v>744</v>
      </c>
      <c r="I167" s="24" t="s">
        <v>63</v>
      </c>
      <c r="J167" s="25"/>
      <c r="K167" s="26"/>
      <c r="L167" s="27"/>
      <c r="M167" s="25"/>
    </row>
    <row r="168" spans="1:13" ht="25" x14ac:dyDescent="0.35">
      <c r="A168" s="23" t="s">
        <v>748</v>
      </c>
      <c r="B168" s="24" t="s">
        <v>736</v>
      </c>
      <c r="C168" s="14" t="s">
        <v>54</v>
      </c>
      <c r="D168" s="14" t="s">
        <v>737</v>
      </c>
      <c r="E168" s="14" t="s">
        <v>76</v>
      </c>
      <c r="F168" s="14" t="s">
        <v>749</v>
      </c>
      <c r="G168" s="14" t="s">
        <v>750</v>
      </c>
      <c r="H168" s="14" t="s">
        <v>751</v>
      </c>
      <c r="I168" s="24" t="s">
        <v>64</v>
      </c>
      <c r="J168" s="25"/>
      <c r="K168" s="26"/>
      <c r="L168" s="27"/>
      <c r="M168" s="25"/>
    </row>
    <row r="169" spans="1:13" ht="25" x14ac:dyDescent="0.35">
      <c r="A169" s="23" t="s">
        <v>752</v>
      </c>
      <c r="B169" s="24" t="s">
        <v>736</v>
      </c>
      <c r="C169" s="14" t="s">
        <v>54</v>
      </c>
      <c r="D169" s="14" t="s">
        <v>737</v>
      </c>
      <c r="E169" s="14" t="s">
        <v>69</v>
      </c>
      <c r="F169" s="14" t="s">
        <v>753</v>
      </c>
      <c r="G169" s="14" t="s">
        <v>754</v>
      </c>
      <c r="H169" s="14" t="s">
        <v>744</v>
      </c>
      <c r="I169" s="24" t="s">
        <v>64</v>
      </c>
      <c r="J169" s="25"/>
      <c r="K169" s="26"/>
      <c r="L169" s="27"/>
      <c r="M169" s="25"/>
    </row>
    <row r="170" spans="1:13" ht="25" x14ac:dyDescent="0.35">
      <c r="A170" s="23" t="s">
        <v>755</v>
      </c>
      <c r="B170" s="24" t="s">
        <v>736</v>
      </c>
      <c r="C170" s="14" t="s">
        <v>54</v>
      </c>
      <c r="D170" s="14" t="s">
        <v>756</v>
      </c>
      <c r="E170" s="14" t="s">
        <v>76</v>
      </c>
      <c r="F170" s="14" t="s">
        <v>757</v>
      </c>
      <c r="G170" s="14" t="s">
        <v>758</v>
      </c>
      <c r="H170" s="14" t="s">
        <v>759</v>
      </c>
      <c r="I170" s="24" t="s">
        <v>64</v>
      </c>
      <c r="J170" s="25"/>
      <c r="K170" s="26"/>
      <c r="L170" s="27"/>
      <c r="M170" s="25"/>
    </row>
    <row r="171" spans="1:13" ht="25" x14ac:dyDescent="0.35">
      <c r="A171" s="23" t="s">
        <v>760</v>
      </c>
      <c r="B171" s="24" t="s">
        <v>736</v>
      </c>
      <c r="C171" s="14" t="s">
        <v>54</v>
      </c>
      <c r="D171" s="14" t="s">
        <v>756</v>
      </c>
      <c r="E171" s="14" t="s">
        <v>76</v>
      </c>
      <c r="F171" s="14" t="s">
        <v>761</v>
      </c>
      <c r="G171" s="14" t="s">
        <v>762</v>
      </c>
      <c r="H171" s="14" t="s">
        <v>756</v>
      </c>
      <c r="I171" s="24" t="s">
        <v>64</v>
      </c>
      <c r="J171" s="25"/>
      <c r="K171" s="26"/>
      <c r="L171" s="27"/>
      <c r="M171" s="25"/>
    </row>
    <row r="172" spans="1:13" ht="25" x14ac:dyDescent="0.35">
      <c r="A172" s="23" t="s">
        <v>763</v>
      </c>
      <c r="B172" s="24" t="s">
        <v>736</v>
      </c>
      <c r="C172" s="14" t="s">
        <v>54</v>
      </c>
      <c r="D172" s="14" t="s">
        <v>756</v>
      </c>
      <c r="E172" s="14" t="s">
        <v>69</v>
      </c>
      <c r="F172" s="14" t="s">
        <v>764</v>
      </c>
      <c r="G172" s="14" t="s">
        <v>765</v>
      </c>
      <c r="H172" s="14" t="s">
        <v>766</v>
      </c>
      <c r="I172" s="24" t="s">
        <v>65</v>
      </c>
      <c r="J172" s="25"/>
      <c r="K172" s="26"/>
      <c r="L172" s="27"/>
      <c r="M172" s="25"/>
    </row>
    <row r="173" spans="1:13" ht="25" x14ac:dyDescent="0.35">
      <c r="A173" s="23" t="s">
        <v>767</v>
      </c>
      <c r="B173" s="24" t="s">
        <v>736</v>
      </c>
      <c r="C173" s="14" t="s">
        <v>54</v>
      </c>
      <c r="D173" s="14" t="s">
        <v>756</v>
      </c>
      <c r="E173" s="14" t="s">
        <v>69</v>
      </c>
      <c r="F173" s="14" t="s">
        <v>768</v>
      </c>
      <c r="G173" s="14" t="s">
        <v>769</v>
      </c>
      <c r="H173" s="14" t="s">
        <v>770</v>
      </c>
      <c r="I173" s="24" t="s">
        <v>63</v>
      </c>
      <c r="J173" s="25"/>
      <c r="K173" s="26"/>
      <c r="L173" s="27"/>
      <c r="M173" s="25"/>
    </row>
    <row r="174" spans="1:13" ht="25" x14ac:dyDescent="0.35">
      <c r="A174" s="23" t="s">
        <v>771</v>
      </c>
      <c r="B174" s="24" t="s">
        <v>736</v>
      </c>
      <c r="C174" s="14" t="s">
        <v>54</v>
      </c>
      <c r="D174" s="14" t="s">
        <v>230</v>
      </c>
      <c r="E174" s="14" t="s">
        <v>76</v>
      </c>
      <c r="F174" s="14" t="s">
        <v>772</v>
      </c>
      <c r="G174" s="14" t="s">
        <v>773</v>
      </c>
      <c r="H174" s="14" t="s">
        <v>774</v>
      </c>
      <c r="I174" s="24" t="s">
        <v>64</v>
      </c>
      <c r="J174" s="25"/>
      <c r="K174" s="26"/>
      <c r="L174" s="27"/>
      <c r="M174" s="25"/>
    </row>
    <row r="175" spans="1:13" ht="25" x14ac:dyDescent="0.35">
      <c r="A175" s="23" t="s">
        <v>775</v>
      </c>
      <c r="B175" s="24" t="s">
        <v>736</v>
      </c>
      <c r="C175" s="14" t="s">
        <v>54</v>
      </c>
      <c r="D175" s="14" t="s">
        <v>756</v>
      </c>
      <c r="E175" s="14" t="s">
        <v>69</v>
      </c>
      <c r="F175" s="14" t="s">
        <v>776</v>
      </c>
      <c r="G175" s="14" t="s">
        <v>777</v>
      </c>
      <c r="H175" s="14" t="s">
        <v>778</v>
      </c>
      <c r="I175" s="24" t="s">
        <v>64</v>
      </c>
      <c r="J175" s="25"/>
      <c r="K175" s="26"/>
      <c r="L175" s="27"/>
      <c r="M175" s="25"/>
    </row>
    <row r="176" spans="1:13" ht="25" x14ac:dyDescent="0.35">
      <c r="A176" s="23" t="s">
        <v>779</v>
      </c>
      <c r="B176" s="24" t="s">
        <v>736</v>
      </c>
      <c r="C176" s="14" t="s">
        <v>54</v>
      </c>
      <c r="D176" s="14" t="s">
        <v>756</v>
      </c>
      <c r="E176" s="14" t="s">
        <v>69</v>
      </c>
      <c r="F176" s="14" t="s">
        <v>780</v>
      </c>
      <c r="G176" s="14" t="s">
        <v>781</v>
      </c>
      <c r="H176" s="14" t="s">
        <v>134</v>
      </c>
      <c r="I176" s="24" t="s">
        <v>64</v>
      </c>
      <c r="J176" s="25"/>
      <c r="K176" s="26"/>
      <c r="L176" s="27"/>
      <c r="M176" s="25"/>
    </row>
    <row r="177" spans="1:13" ht="25" x14ac:dyDescent="0.35">
      <c r="A177" s="23" t="s">
        <v>782</v>
      </c>
      <c r="B177" s="24" t="s">
        <v>736</v>
      </c>
      <c r="C177" s="14" t="s">
        <v>54</v>
      </c>
      <c r="D177" s="14" t="s">
        <v>783</v>
      </c>
      <c r="E177" s="14" t="s">
        <v>69</v>
      </c>
      <c r="F177" s="14" t="s">
        <v>784</v>
      </c>
      <c r="G177" s="14" t="s">
        <v>785</v>
      </c>
      <c r="H177" s="14" t="s">
        <v>783</v>
      </c>
      <c r="I177" s="24" t="s">
        <v>63</v>
      </c>
      <c r="J177" s="25"/>
      <c r="K177" s="26"/>
      <c r="L177" s="27"/>
      <c r="M177" s="25"/>
    </row>
    <row r="178" spans="1:13" ht="25" x14ac:dyDescent="0.35">
      <c r="A178" s="23" t="s">
        <v>786</v>
      </c>
      <c r="B178" s="24" t="s">
        <v>736</v>
      </c>
      <c r="C178" s="14" t="s">
        <v>54</v>
      </c>
      <c r="D178" s="14" t="s">
        <v>783</v>
      </c>
      <c r="E178" s="14" t="s">
        <v>75</v>
      </c>
      <c r="F178" s="14" t="s">
        <v>787</v>
      </c>
      <c r="G178" s="14" t="s">
        <v>788</v>
      </c>
      <c r="H178" s="14" t="s">
        <v>783</v>
      </c>
      <c r="I178" s="24" t="s">
        <v>64</v>
      </c>
      <c r="J178" s="25"/>
      <c r="K178" s="26"/>
      <c r="L178" s="27"/>
      <c r="M178" s="25"/>
    </row>
    <row r="179" spans="1:13" x14ac:dyDescent="0.35">
      <c r="A179" s="23" t="s">
        <v>789</v>
      </c>
      <c r="B179" s="24" t="s">
        <v>790</v>
      </c>
      <c r="C179" s="14" t="s">
        <v>55</v>
      </c>
      <c r="D179" s="14" t="s">
        <v>148</v>
      </c>
      <c r="E179" s="14" t="s">
        <v>74</v>
      </c>
      <c r="F179" s="14" t="s">
        <v>791</v>
      </c>
      <c r="G179" s="14" t="s">
        <v>792</v>
      </c>
      <c r="H179" s="14" t="s">
        <v>255</v>
      </c>
      <c r="I179" s="24" t="s">
        <v>63</v>
      </c>
      <c r="J179" s="25"/>
      <c r="K179" s="26"/>
      <c r="L179" s="27"/>
      <c r="M179" s="25"/>
    </row>
    <row r="180" spans="1:13" x14ac:dyDescent="0.35">
      <c r="A180" s="23" t="s">
        <v>793</v>
      </c>
      <c r="B180" s="24" t="s">
        <v>790</v>
      </c>
      <c r="C180" s="14" t="s">
        <v>55</v>
      </c>
      <c r="D180" s="14" t="s">
        <v>148</v>
      </c>
      <c r="E180" s="14" t="s">
        <v>74</v>
      </c>
      <c r="F180" s="14" t="s">
        <v>794</v>
      </c>
      <c r="G180" s="14" t="s">
        <v>795</v>
      </c>
      <c r="H180" s="14" t="s">
        <v>592</v>
      </c>
      <c r="I180" s="24" t="s">
        <v>63</v>
      </c>
      <c r="J180" s="25"/>
      <c r="K180" s="26"/>
      <c r="L180" s="27"/>
      <c r="M180" s="25"/>
    </row>
    <row r="181" spans="1:13" x14ac:dyDescent="0.35">
      <c r="A181" s="23" t="s">
        <v>796</v>
      </c>
      <c r="B181" s="24" t="s">
        <v>790</v>
      </c>
      <c r="C181" s="14" t="s">
        <v>55</v>
      </c>
      <c r="D181" s="14" t="s">
        <v>148</v>
      </c>
      <c r="E181" s="14" t="s">
        <v>71</v>
      </c>
      <c r="F181" s="14" t="s">
        <v>797</v>
      </c>
      <c r="G181" s="14" t="s">
        <v>798</v>
      </c>
      <c r="H181" s="14" t="s">
        <v>799</v>
      </c>
      <c r="I181" s="24" t="s">
        <v>63</v>
      </c>
      <c r="J181" s="25"/>
      <c r="K181" s="26"/>
      <c r="L181" s="27"/>
      <c r="M181" s="25"/>
    </row>
    <row r="182" spans="1:13" ht="25" x14ac:dyDescent="0.35">
      <c r="A182" s="23" t="s">
        <v>800</v>
      </c>
      <c r="B182" s="24" t="s">
        <v>790</v>
      </c>
      <c r="C182" s="14" t="s">
        <v>55</v>
      </c>
      <c r="D182" s="14" t="s">
        <v>148</v>
      </c>
      <c r="E182" s="14" t="s">
        <v>74</v>
      </c>
      <c r="F182" s="14" t="s">
        <v>801</v>
      </c>
      <c r="G182" s="14" t="s">
        <v>802</v>
      </c>
      <c r="H182" s="14" t="s">
        <v>592</v>
      </c>
      <c r="I182" s="24" t="s">
        <v>64</v>
      </c>
      <c r="J182" s="25"/>
      <c r="K182" s="26"/>
      <c r="L182" s="27"/>
      <c r="M182" s="25"/>
    </row>
    <row r="183" spans="1:13" x14ac:dyDescent="0.35">
      <c r="A183" s="23" t="s">
        <v>803</v>
      </c>
      <c r="B183" s="24" t="s">
        <v>790</v>
      </c>
      <c r="C183" s="14" t="s">
        <v>55</v>
      </c>
      <c r="D183" s="14" t="s">
        <v>148</v>
      </c>
      <c r="E183" s="14" t="s">
        <v>74</v>
      </c>
      <c r="F183" s="14" t="s">
        <v>804</v>
      </c>
      <c r="G183" s="14" t="s">
        <v>805</v>
      </c>
      <c r="H183" s="14" t="s">
        <v>592</v>
      </c>
      <c r="I183" s="24" t="s">
        <v>65</v>
      </c>
      <c r="J183" s="25"/>
      <c r="K183" s="26"/>
      <c r="L183" s="27"/>
      <c r="M183" s="25"/>
    </row>
    <row r="184" spans="1:13" ht="25" x14ac:dyDescent="0.35">
      <c r="A184" s="23" t="s">
        <v>806</v>
      </c>
      <c r="B184" s="24" t="s">
        <v>790</v>
      </c>
      <c r="C184" s="14" t="s">
        <v>55</v>
      </c>
      <c r="D184" s="14" t="s">
        <v>807</v>
      </c>
      <c r="E184" s="14" t="s">
        <v>74</v>
      </c>
      <c r="F184" s="14" t="s">
        <v>808</v>
      </c>
      <c r="G184" s="14" t="s">
        <v>809</v>
      </c>
      <c r="H184" s="14" t="s">
        <v>810</v>
      </c>
      <c r="I184" s="24" t="s">
        <v>64</v>
      </c>
      <c r="J184" s="25"/>
      <c r="K184" s="26"/>
      <c r="L184" s="27"/>
      <c r="M184" s="25"/>
    </row>
    <row r="185" spans="1:13" ht="25" x14ac:dyDescent="0.35">
      <c r="A185" s="23" t="s">
        <v>811</v>
      </c>
      <c r="B185" s="24" t="s">
        <v>790</v>
      </c>
      <c r="C185" s="14" t="s">
        <v>55</v>
      </c>
      <c r="D185" s="14" t="s">
        <v>812</v>
      </c>
      <c r="E185" s="14" t="s">
        <v>74</v>
      </c>
      <c r="F185" s="14" t="s">
        <v>813</v>
      </c>
      <c r="G185" s="14" t="s">
        <v>814</v>
      </c>
      <c r="H185" s="14" t="s">
        <v>268</v>
      </c>
      <c r="I185" s="24" t="s">
        <v>63</v>
      </c>
      <c r="J185" s="25"/>
      <c r="K185" s="26"/>
      <c r="L185" s="27"/>
      <c r="M185" s="25"/>
    </row>
    <row r="186" spans="1:13" x14ac:dyDescent="0.35">
      <c r="A186" s="23" t="s">
        <v>815</v>
      </c>
      <c r="B186" s="24" t="s">
        <v>790</v>
      </c>
      <c r="C186" s="14" t="s">
        <v>55</v>
      </c>
      <c r="D186" s="14" t="s">
        <v>816</v>
      </c>
      <c r="E186" s="14" t="s">
        <v>74</v>
      </c>
      <c r="F186" s="14" t="s">
        <v>817</v>
      </c>
      <c r="G186" s="14" t="s">
        <v>818</v>
      </c>
      <c r="H186" s="14" t="s">
        <v>819</v>
      </c>
      <c r="I186" s="24" t="s">
        <v>64</v>
      </c>
      <c r="J186" s="25"/>
      <c r="K186" s="26"/>
      <c r="L186" s="27"/>
      <c r="M186" s="25"/>
    </row>
    <row r="187" spans="1:13" x14ac:dyDescent="0.35">
      <c r="A187" s="23" t="s">
        <v>820</v>
      </c>
      <c r="B187" s="24" t="s">
        <v>790</v>
      </c>
      <c r="C187" s="14" t="s">
        <v>55</v>
      </c>
      <c r="D187" s="14" t="s">
        <v>821</v>
      </c>
      <c r="E187" s="14" t="s">
        <v>74</v>
      </c>
      <c r="F187" s="14" t="s">
        <v>822</v>
      </c>
      <c r="G187" s="14" t="s">
        <v>823</v>
      </c>
      <c r="H187" s="14" t="s">
        <v>824</v>
      </c>
      <c r="I187" s="24" t="s">
        <v>64</v>
      </c>
      <c r="J187" s="25"/>
      <c r="K187" s="26"/>
      <c r="L187" s="27"/>
      <c r="M187" s="25"/>
    </row>
    <row r="188" spans="1:13" x14ac:dyDescent="0.35">
      <c r="A188" s="23" t="s">
        <v>825</v>
      </c>
      <c r="B188" s="24" t="s">
        <v>790</v>
      </c>
      <c r="C188" s="14" t="s">
        <v>55</v>
      </c>
      <c r="D188" s="14" t="s">
        <v>826</v>
      </c>
      <c r="E188" s="14" t="s">
        <v>74</v>
      </c>
      <c r="F188" s="14" t="s">
        <v>827</v>
      </c>
      <c r="G188" s="14" t="s">
        <v>828</v>
      </c>
      <c r="H188" s="14" t="s">
        <v>829</v>
      </c>
      <c r="I188" s="24" t="s">
        <v>63</v>
      </c>
      <c r="J188" s="25"/>
      <c r="K188" s="26"/>
      <c r="L188" s="27"/>
      <c r="M188" s="25"/>
    </row>
    <row r="189" spans="1:13" x14ac:dyDescent="0.35">
      <c r="A189" s="23" t="s">
        <v>830</v>
      </c>
      <c r="B189" s="24" t="s">
        <v>790</v>
      </c>
      <c r="C189" s="14" t="s">
        <v>55</v>
      </c>
      <c r="D189" s="14" t="s">
        <v>826</v>
      </c>
      <c r="E189" s="14" t="s">
        <v>74</v>
      </c>
      <c r="F189" s="14" t="s">
        <v>831</v>
      </c>
      <c r="G189" s="14" t="s">
        <v>832</v>
      </c>
      <c r="H189" s="14" t="s">
        <v>833</v>
      </c>
      <c r="I189" s="24" t="s">
        <v>64</v>
      </c>
      <c r="J189" s="25"/>
      <c r="K189" s="26"/>
      <c r="L189" s="27"/>
      <c r="M189" s="25"/>
    </row>
    <row r="190" spans="1:13" x14ac:dyDescent="0.35">
      <c r="A190" s="23" t="s">
        <v>834</v>
      </c>
      <c r="B190" s="24" t="s">
        <v>790</v>
      </c>
      <c r="C190" s="14" t="s">
        <v>55</v>
      </c>
      <c r="D190" s="14" t="s">
        <v>835</v>
      </c>
      <c r="E190" s="14" t="s">
        <v>74</v>
      </c>
      <c r="F190" s="14" t="s">
        <v>836</v>
      </c>
      <c r="G190" s="14" t="s">
        <v>837</v>
      </c>
      <c r="H190" s="14" t="s">
        <v>838</v>
      </c>
      <c r="I190" s="24" t="s">
        <v>65</v>
      </c>
      <c r="J190" s="25"/>
      <c r="K190" s="26"/>
      <c r="L190" s="27"/>
      <c r="M190" s="25"/>
    </row>
    <row r="191" spans="1:13" x14ac:dyDescent="0.35">
      <c r="A191" s="23" t="s">
        <v>839</v>
      </c>
      <c r="B191" s="24" t="s">
        <v>790</v>
      </c>
      <c r="C191" s="14" t="s">
        <v>55</v>
      </c>
      <c r="D191" s="14" t="s">
        <v>840</v>
      </c>
      <c r="E191" s="14" t="s">
        <v>74</v>
      </c>
      <c r="F191" s="14" t="s">
        <v>841</v>
      </c>
      <c r="G191" s="14" t="s">
        <v>842</v>
      </c>
      <c r="H191" s="14" t="s">
        <v>843</v>
      </c>
      <c r="I191" s="24" t="s">
        <v>64</v>
      </c>
      <c r="J191" s="25"/>
      <c r="K191" s="26"/>
      <c r="L191" s="27"/>
      <c r="M191" s="25"/>
    </row>
    <row r="192" spans="1:13" ht="25" x14ac:dyDescent="0.35">
      <c r="A192" s="23" t="s">
        <v>844</v>
      </c>
      <c r="B192" s="24" t="s">
        <v>790</v>
      </c>
      <c r="C192" s="14" t="s">
        <v>55</v>
      </c>
      <c r="D192" s="14" t="s">
        <v>845</v>
      </c>
      <c r="E192" s="14" t="s">
        <v>69</v>
      </c>
      <c r="F192" s="14" t="s">
        <v>846</v>
      </c>
      <c r="G192" s="14" t="s">
        <v>847</v>
      </c>
      <c r="H192" s="14" t="s">
        <v>118</v>
      </c>
      <c r="I192" s="24" t="s">
        <v>64</v>
      </c>
      <c r="J192" s="25"/>
      <c r="K192" s="26"/>
      <c r="L192" s="27"/>
      <c r="M192" s="25"/>
    </row>
    <row r="193" spans="1:13" x14ac:dyDescent="0.35">
      <c r="A193" s="23" t="s">
        <v>848</v>
      </c>
      <c r="B193" s="24" t="s">
        <v>790</v>
      </c>
      <c r="C193" s="14" t="s">
        <v>55</v>
      </c>
      <c r="D193" s="14" t="s">
        <v>496</v>
      </c>
      <c r="E193" s="14" t="s">
        <v>74</v>
      </c>
      <c r="F193" s="14" t="s">
        <v>849</v>
      </c>
      <c r="G193" s="14" t="s">
        <v>850</v>
      </c>
      <c r="H193" s="14" t="s">
        <v>293</v>
      </c>
      <c r="I193" s="24" t="s">
        <v>65</v>
      </c>
      <c r="J193" s="25"/>
      <c r="K193" s="26"/>
      <c r="L193" s="27"/>
      <c r="M193" s="25"/>
    </row>
    <row r="194" spans="1:13" x14ac:dyDescent="0.35">
      <c r="A194" s="23" t="s">
        <v>851</v>
      </c>
      <c r="B194" s="24" t="s">
        <v>790</v>
      </c>
      <c r="C194" s="14" t="s">
        <v>55</v>
      </c>
      <c r="D194" s="14" t="s">
        <v>852</v>
      </c>
      <c r="E194" s="14" t="s">
        <v>74</v>
      </c>
      <c r="F194" s="14" t="s">
        <v>853</v>
      </c>
      <c r="G194" s="14" t="s">
        <v>854</v>
      </c>
      <c r="H194" s="14" t="s">
        <v>450</v>
      </c>
      <c r="I194" s="24" t="s">
        <v>65</v>
      </c>
      <c r="J194" s="25"/>
      <c r="K194" s="26"/>
      <c r="L194" s="27"/>
      <c r="M194" s="25"/>
    </row>
    <row r="195" spans="1:13" ht="25" x14ac:dyDescent="0.35">
      <c r="A195" s="23" t="s">
        <v>855</v>
      </c>
      <c r="B195" s="24" t="s">
        <v>790</v>
      </c>
      <c r="C195" s="14" t="s">
        <v>55</v>
      </c>
      <c r="D195" s="14" t="s">
        <v>657</v>
      </c>
      <c r="E195" s="14" t="s">
        <v>74</v>
      </c>
      <c r="F195" s="14" t="s">
        <v>856</v>
      </c>
      <c r="G195" s="14" t="s">
        <v>857</v>
      </c>
      <c r="H195" s="14" t="s">
        <v>660</v>
      </c>
      <c r="I195" s="24" t="s">
        <v>65</v>
      </c>
      <c r="J195" s="25"/>
      <c r="K195" s="26"/>
      <c r="L195" s="27"/>
      <c r="M195" s="25"/>
    </row>
    <row r="196" spans="1:13" x14ac:dyDescent="0.35">
      <c r="A196" s="23" t="s">
        <v>858</v>
      </c>
      <c r="B196" s="24" t="s">
        <v>790</v>
      </c>
      <c r="C196" s="14" t="s">
        <v>55</v>
      </c>
      <c r="D196" s="14" t="s">
        <v>657</v>
      </c>
      <c r="E196" s="14" t="s">
        <v>74</v>
      </c>
      <c r="F196" s="14" t="s">
        <v>859</v>
      </c>
      <c r="G196" s="14" t="s">
        <v>860</v>
      </c>
      <c r="H196" s="14" t="s">
        <v>660</v>
      </c>
      <c r="I196" s="24" t="s">
        <v>64</v>
      </c>
      <c r="J196" s="25"/>
      <c r="K196" s="26"/>
      <c r="L196" s="27"/>
      <c r="M196" s="25"/>
    </row>
    <row r="197" spans="1:13" x14ac:dyDescent="0.35">
      <c r="A197" s="23" t="s">
        <v>861</v>
      </c>
      <c r="B197" s="24" t="s">
        <v>790</v>
      </c>
      <c r="C197" s="14" t="s">
        <v>55</v>
      </c>
      <c r="D197" s="14" t="s">
        <v>657</v>
      </c>
      <c r="E197" s="14" t="s">
        <v>69</v>
      </c>
      <c r="F197" s="14" t="s">
        <v>862</v>
      </c>
      <c r="G197" s="14" t="s">
        <v>863</v>
      </c>
      <c r="H197" s="14" t="s">
        <v>142</v>
      </c>
      <c r="I197" s="24" t="s">
        <v>65</v>
      </c>
      <c r="J197" s="25"/>
      <c r="K197" s="26"/>
      <c r="L197" s="27"/>
      <c r="M197" s="25"/>
    </row>
    <row r="198" spans="1:13" ht="25" x14ac:dyDescent="0.35">
      <c r="A198" s="23" t="s">
        <v>864</v>
      </c>
      <c r="B198" s="24" t="s">
        <v>790</v>
      </c>
      <c r="C198" s="14" t="s">
        <v>55</v>
      </c>
      <c r="D198" s="14" t="s">
        <v>865</v>
      </c>
      <c r="E198" s="14" t="s">
        <v>74</v>
      </c>
      <c r="F198" s="14" t="s">
        <v>866</v>
      </c>
      <c r="G198" s="14" t="s">
        <v>867</v>
      </c>
      <c r="H198" s="14" t="s">
        <v>868</v>
      </c>
      <c r="I198" s="24" t="s">
        <v>65</v>
      </c>
      <c r="J198" s="25"/>
      <c r="K198" s="26"/>
      <c r="L198" s="27"/>
      <c r="M198" s="25"/>
    </row>
    <row r="199" spans="1:13" x14ac:dyDescent="0.35">
      <c r="A199" s="23" t="s">
        <v>869</v>
      </c>
      <c r="B199" s="24" t="s">
        <v>790</v>
      </c>
      <c r="C199" s="14" t="s">
        <v>55</v>
      </c>
      <c r="D199" s="14" t="s">
        <v>870</v>
      </c>
      <c r="E199" s="14" t="s">
        <v>74</v>
      </c>
      <c r="F199" s="14" t="s">
        <v>871</v>
      </c>
      <c r="G199" s="14" t="s">
        <v>872</v>
      </c>
      <c r="H199" s="14" t="s">
        <v>873</v>
      </c>
      <c r="I199" s="24" t="s">
        <v>64</v>
      </c>
      <c r="J199" s="25"/>
      <c r="K199" s="26"/>
      <c r="L199" s="27"/>
      <c r="M199" s="25"/>
    </row>
    <row r="200" spans="1:13" ht="25" x14ac:dyDescent="0.35">
      <c r="A200" s="23" t="s">
        <v>874</v>
      </c>
      <c r="B200" s="24" t="s">
        <v>790</v>
      </c>
      <c r="C200" s="14" t="s">
        <v>56</v>
      </c>
      <c r="D200" s="14" t="s">
        <v>875</v>
      </c>
      <c r="E200" s="14" t="s">
        <v>71</v>
      </c>
      <c r="F200" s="14" t="s">
        <v>876</v>
      </c>
      <c r="G200" s="14" t="s">
        <v>877</v>
      </c>
      <c r="H200" s="14" t="s">
        <v>878</v>
      </c>
      <c r="I200" s="24" t="s">
        <v>63</v>
      </c>
      <c r="J200" s="25"/>
      <c r="K200" s="26"/>
      <c r="L200" s="27"/>
      <c r="M200" s="25"/>
    </row>
    <row r="201" spans="1:13" ht="25" x14ac:dyDescent="0.35">
      <c r="A201" s="23" t="s">
        <v>879</v>
      </c>
      <c r="B201" s="24" t="s">
        <v>790</v>
      </c>
      <c r="C201" s="14" t="s">
        <v>56</v>
      </c>
      <c r="D201" s="14" t="s">
        <v>875</v>
      </c>
      <c r="E201" s="14" t="s">
        <v>71</v>
      </c>
      <c r="F201" s="14" t="s">
        <v>880</v>
      </c>
      <c r="G201" s="14" t="s">
        <v>881</v>
      </c>
      <c r="H201" s="14" t="s">
        <v>882</v>
      </c>
      <c r="I201" s="24" t="s">
        <v>63</v>
      </c>
      <c r="J201" s="25"/>
      <c r="K201" s="26"/>
      <c r="L201" s="27"/>
      <c r="M201" s="25"/>
    </row>
    <row r="202" spans="1:13" x14ac:dyDescent="0.35">
      <c r="A202" s="23" t="s">
        <v>883</v>
      </c>
      <c r="B202" s="24" t="s">
        <v>790</v>
      </c>
      <c r="C202" s="14" t="s">
        <v>56</v>
      </c>
      <c r="D202" s="14" t="s">
        <v>875</v>
      </c>
      <c r="E202" s="14" t="s">
        <v>71</v>
      </c>
      <c r="F202" s="14" t="s">
        <v>884</v>
      </c>
      <c r="G202" s="14" t="s">
        <v>885</v>
      </c>
      <c r="H202" s="14" t="s">
        <v>886</v>
      </c>
      <c r="I202" s="24" t="s">
        <v>64</v>
      </c>
      <c r="J202" s="25"/>
      <c r="K202" s="26"/>
      <c r="L202" s="27"/>
      <c r="M202" s="25"/>
    </row>
    <row r="203" spans="1:13" ht="25" x14ac:dyDescent="0.35">
      <c r="A203" s="23" t="s">
        <v>887</v>
      </c>
      <c r="B203" s="24" t="s">
        <v>790</v>
      </c>
      <c r="C203" s="14" t="s">
        <v>56</v>
      </c>
      <c r="D203" s="14" t="s">
        <v>888</v>
      </c>
      <c r="E203" s="14" t="s">
        <v>83</v>
      </c>
      <c r="F203" s="14" t="s">
        <v>889</v>
      </c>
      <c r="G203" s="14" t="s">
        <v>890</v>
      </c>
      <c r="H203" s="14" t="s">
        <v>891</v>
      </c>
      <c r="I203" s="24" t="s">
        <v>63</v>
      </c>
      <c r="J203" s="25"/>
      <c r="K203" s="26"/>
      <c r="L203" s="27"/>
      <c r="M203" s="25"/>
    </row>
    <row r="204" spans="1:13" ht="25" x14ac:dyDescent="0.35">
      <c r="A204" s="23" t="s">
        <v>892</v>
      </c>
      <c r="B204" s="24" t="s">
        <v>790</v>
      </c>
      <c r="C204" s="14" t="s">
        <v>56</v>
      </c>
      <c r="D204" s="14" t="s">
        <v>888</v>
      </c>
      <c r="E204" s="14" t="s">
        <v>83</v>
      </c>
      <c r="F204" s="14" t="s">
        <v>893</v>
      </c>
      <c r="G204" s="14" t="s">
        <v>894</v>
      </c>
      <c r="H204" s="14" t="s">
        <v>895</v>
      </c>
      <c r="I204" s="24" t="s">
        <v>63</v>
      </c>
      <c r="J204" s="25"/>
      <c r="K204" s="26"/>
      <c r="L204" s="27"/>
      <c r="M204" s="25"/>
    </row>
    <row r="205" spans="1:13" ht="25" x14ac:dyDescent="0.35">
      <c r="A205" s="23" t="s">
        <v>896</v>
      </c>
      <c r="B205" s="24" t="s">
        <v>790</v>
      </c>
      <c r="C205" s="14" t="s">
        <v>56</v>
      </c>
      <c r="D205" s="14" t="s">
        <v>888</v>
      </c>
      <c r="E205" s="14" t="s">
        <v>83</v>
      </c>
      <c r="F205" s="14" t="s">
        <v>897</v>
      </c>
      <c r="G205" s="14" t="s">
        <v>898</v>
      </c>
      <c r="H205" s="14" t="s">
        <v>592</v>
      </c>
      <c r="I205" s="24" t="s">
        <v>64</v>
      </c>
      <c r="J205" s="25"/>
      <c r="K205" s="26"/>
      <c r="L205" s="27"/>
      <c r="M205" s="25"/>
    </row>
    <row r="206" spans="1:13" x14ac:dyDescent="0.35">
      <c r="A206" s="23" t="s">
        <v>899</v>
      </c>
      <c r="B206" s="24" t="s">
        <v>790</v>
      </c>
      <c r="C206" s="14" t="s">
        <v>56</v>
      </c>
      <c r="D206" s="14" t="s">
        <v>888</v>
      </c>
      <c r="E206" s="14" t="s">
        <v>83</v>
      </c>
      <c r="F206" s="14" t="s">
        <v>900</v>
      </c>
      <c r="G206" s="14" t="s">
        <v>901</v>
      </c>
      <c r="H206" s="14" t="s">
        <v>290</v>
      </c>
      <c r="I206" s="24" t="s">
        <v>64</v>
      </c>
      <c r="J206" s="25"/>
      <c r="K206" s="26"/>
      <c r="L206" s="27"/>
      <c r="M206" s="25"/>
    </row>
    <row r="207" spans="1:13" x14ac:dyDescent="0.35">
      <c r="A207" s="23" t="s">
        <v>902</v>
      </c>
      <c r="B207" s="24" t="s">
        <v>790</v>
      </c>
      <c r="C207" s="14" t="s">
        <v>56</v>
      </c>
      <c r="D207" s="14" t="s">
        <v>178</v>
      </c>
      <c r="E207" s="14" t="s">
        <v>71</v>
      </c>
      <c r="F207" s="14" t="s">
        <v>903</v>
      </c>
      <c r="G207" s="14" t="s">
        <v>904</v>
      </c>
      <c r="H207" s="14" t="s">
        <v>905</v>
      </c>
      <c r="I207" s="24" t="s">
        <v>64</v>
      </c>
      <c r="J207" s="25"/>
      <c r="K207" s="26"/>
      <c r="L207" s="27"/>
      <c r="M207" s="25"/>
    </row>
    <row r="208" spans="1:13" ht="25" x14ac:dyDescent="0.35">
      <c r="A208" s="23" t="s">
        <v>906</v>
      </c>
      <c r="B208" s="24" t="s">
        <v>790</v>
      </c>
      <c r="C208" s="14" t="s">
        <v>56</v>
      </c>
      <c r="D208" s="14" t="s">
        <v>907</v>
      </c>
      <c r="E208" s="14" t="s">
        <v>83</v>
      </c>
      <c r="F208" s="14" t="s">
        <v>908</v>
      </c>
      <c r="G208" s="14" t="s">
        <v>909</v>
      </c>
      <c r="H208" s="14" t="s">
        <v>268</v>
      </c>
      <c r="I208" s="24" t="s">
        <v>63</v>
      </c>
      <c r="J208" s="25"/>
      <c r="K208" s="26"/>
      <c r="L208" s="27"/>
      <c r="M208" s="25"/>
    </row>
    <row r="209" spans="1:13" ht="25" x14ac:dyDescent="0.35">
      <c r="A209" s="23" t="s">
        <v>910</v>
      </c>
      <c r="B209" s="24" t="s">
        <v>790</v>
      </c>
      <c r="C209" s="14" t="s">
        <v>56</v>
      </c>
      <c r="D209" s="14" t="s">
        <v>907</v>
      </c>
      <c r="E209" s="14" t="s">
        <v>84</v>
      </c>
      <c r="F209" s="14" t="s">
        <v>911</v>
      </c>
      <c r="G209" s="14" t="s">
        <v>912</v>
      </c>
      <c r="H209" s="14" t="s">
        <v>913</v>
      </c>
      <c r="I209" s="24" t="s">
        <v>63</v>
      </c>
      <c r="J209" s="25"/>
      <c r="K209" s="26"/>
      <c r="L209" s="27"/>
      <c r="M209" s="25"/>
    </row>
    <row r="210" spans="1:13" ht="25" x14ac:dyDescent="0.35">
      <c r="A210" s="23" t="s">
        <v>914</v>
      </c>
      <c r="B210" s="24" t="s">
        <v>790</v>
      </c>
      <c r="C210" s="14" t="s">
        <v>56</v>
      </c>
      <c r="D210" s="14" t="s">
        <v>907</v>
      </c>
      <c r="E210" s="14" t="s">
        <v>83</v>
      </c>
      <c r="F210" s="14" t="s">
        <v>915</v>
      </c>
      <c r="G210" s="14" t="s">
        <v>916</v>
      </c>
      <c r="H210" s="14" t="s">
        <v>268</v>
      </c>
      <c r="I210" s="24" t="s">
        <v>64</v>
      </c>
      <c r="J210" s="25"/>
      <c r="K210" s="26"/>
      <c r="L210" s="27"/>
      <c r="M210" s="25"/>
    </row>
    <row r="211" spans="1:13" ht="25" x14ac:dyDescent="0.35">
      <c r="A211" s="23" t="s">
        <v>917</v>
      </c>
      <c r="B211" s="24" t="s">
        <v>790</v>
      </c>
      <c r="C211" s="14" t="s">
        <v>56</v>
      </c>
      <c r="D211" s="14" t="s">
        <v>907</v>
      </c>
      <c r="E211" s="14" t="s">
        <v>84</v>
      </c>
      <c r="F211" s="14" t="s">
        <v>918</v>
      </c>
      <c r="G211" s="14" t="s">
        <v>919</v>
      </c>
      <c r="H211" s="14" t="s">
        <v>920</v>
      </c>
      <c r="I211" s="24" t="s">
        <v>63</v>
      </c>
      <c r="J211" s="25"/>
      <c r="K211" s="26"/>
      <c r="L211" s="27"/>
      <c r="M211" s="25"/>
    </row>
    <row r="212" spans="1:13" x14ac:dyDescent="0.35">
      <c r="A212" s="23" t="s">
        <v>921</v>
      </c>
      <c r="B212" s="24" t="s">
        <v>790</v>
      </c>
      <c r="C212" s="14" t="s">
        <v>56</v>
      </c>
      <c r="D212" s="14" t="s">
        <v>907</v>
      </c>
      <c r="E212" s="14" t="s">
        <v>83</v>
      </c>
      <c r="F212" s="14" t="s">
        <v>922</v>
      </c>
      <c r="G212" s="14" t="s">
        <v>923</v>
      </c>
      <c r="H212" s="14" t="s">
        <v>924</v>
      </c>
      <c r="I212" s="24" t="s">
        <v>64</v>
      </c>
      <c r="J212" s="25"/>
      <c r="K212" s="26"/>
      <c r="L212" s="27"/>
      <c r="M212" s="25"/>
    </row>
    <row r="213" spans="1:13" x14ac:dyDescent="0.35">
      <c r="A213" s="23" t="s">
        <v>925</v>
      </c>
      <c r="B213" s="24" t="s">
        <v>790</v>
      </c>
      <c r="C213" s="14" t="s">
        <v>56</v>
      </c>
      <c r="D213" s="14" t="s">
        <v>907</v>
      </c>
      <c r="E213" s="14" t="s">
        <v>71</v>
      </c>
      <c r="F213" s="14" t="s">
        <v>926</v>
      </c>
      <c r="G213" s="14" t="s">
        <v>927</v>
      </c>
      <c r="H213" s="14" t="s">
        <v>228</v>
      </c>
      <c r="I213" s="24" t="s">
        <v>65</v>
      </c>
      <c r="J213" s="25"/>
      <c r="K213" s="26"/>
      <c r="L213" s="27"/>
      <c r="M213" s="25"/>
    </row>
    <row r="214" spans="1:13" ht="25" x14ac:dyDescent="0.35">
      <c r="A214" s="23" t="s">
        <v>928</v>
      </c>
      <c r="B214" s="24" t="s">
        <v>790</v>
      </c>
      <c r="C214" s="14" t="s">
        <v>56</v>
      </c>
      <c r="D214" s="14" t="s">
        <v>281</v>
      </c>
      <c r="E214" s="14" t="s">
        <v>83</v>
      </c>
      <c r="F214" s="14" t="s">
        <v>929</v>
      </c>
      <c r="G214" s="14" t="s">
        <v>930</v>
      </c>
      <c r="H214" s="14" t="s">
        <v>931</v>
      </c>
      <c r="I214" s="24" t="s">
        <v>63</v>
      </c>
      <c r="J214" s="25"/>
      <c r="K214" s="26"/>
      <c r="L214" s="27"/>
      <c r="M214" s="25"/>
    </row>
    <row r="215" spans="1:13" ht="25" x14ac:dyDescent="0.35">
      <c r="A215" s="23" t="s">
        <v>932</v>
      </c>
      <c r="B215" s="24" t="s">
        <v>790</v>
      </c>
      <c r="C215" s="14" t="s">
        <v>56</v>
      </c>
      <c r="D215" s="14" t="s">
        <v>281</v>
      </c>
      <c r="E215" s="14" t="s">
        <v>71</v>
      </c>
      <c r="F215" s="14" t="s">
        <v>933</v>
      </c>
      <c r="G215" s="14" t="s">
        <v>934</v>
      </c>
      <c r="H215" s="14" t="s">
        <v>935</v>
      </c>
      <c r="I215" s="24" t="s">
        <v>63</v>
      </c>
      <c r="J215" s="25"/>
      <c r="K215" s="26"/>
      <c r="L215" s="27"/>
      <c r="M215" s="25"/>
    </row>
    <row r="216" spans="1:13" ht="25" x14ac:dyDescent="0.35">
      <c r="A216" s="23" t="s">
        <v>936</v>
      </c>
      <c r="B216" s="24" t="s">
        <v>790</v>
      </c>
      <c r="C216" s="14" t="s">
        <v>56</v>
      </c>
      <c r="D216" s="14" t="s">
        <v>281</v>
      </c>
      <c r="E216" s="14" t="s">
        <v>71</v>
      </c>
      <c r="F216" s="14" t="s">
        <v>937</v>
      </c>
      <c r="G216" s="14" t="s">
        <v>938</v>
      </c>
      <c r="H216" s="14" t="s">
        <v>935</v>
      </c>
      <c r="I216" s="24" t="s">
        <v>64</v>
      </c>
      <c r="J216" s="25"/>
      <c r="K216" s="26"/>
      <c r="L216" s="27"/>
      <c r="M216" s="25"/>
    </row>
    <row r="217" spans="1:13" ht="25" x14ac:dyDescent="0.35">
      <c r="A217" s="23" t="s">
        <v>939</v>
      </c>
      <c r="B217" s="24" t="s">
        <v>790</v>
      </c>
      <c r="C217" s="14" t="s">
        <v>56</v>
      </c>
      <c r="D217" s="14" t="s">
        <v>940</v>
      </c>
      <c r="E217" s="14" t="s">
        <v>83</v>
      </c>
      <c r="F217" s="14" t="s">
        <v>941</v>
      </c>
      <c r="G217" s="14" t="s">
        <v>942</v>
      </c>
      <c r="H217" s="14" t="s">
        <v>943</v>
      </c>
      <c r="I217" s="24" t="s">
        <v>64</v>
      </c>
      <c r="J217" s="25"/>
      <c r="K217" s="26"/>
      <c r="L217" s="27"/>
      <c r="M217" s="25"/>
    </row>
    <row r="218" spans="1:13" ht="25" x14ac:dyDescent="0.35">
      <c r="A218" s="23" t="s">
        <v>944</v>
      </c>
      <c r="B218" s="24" t="s">
        <v>790</v>
      </c>
      <c r="C218" s="14" t="s">
        <v>56</v>
      </c>
      <c r="D218" s="14" t="s">
        <v>940</v>
      </c>
      <c r="E218" s="14" t="s">
        <v>69</v>
      </c>
      <c r="F218" s="14" t="s">
        <v>945</v>
      </c>
      <c r="G218" s="14" t="s">
        <v>946</v>
      </c>
      <c r="H218" s="14" t="s">
        <v>947</v>
      </c>
      <c r="I218" s="24" t="s">
        <v>65</v>
      </c>
      <c r="J218" s="25"/>
      <c r="K218" s="26"/>
      <c r="L218" s="27"/>
      <c r="M218" s="25"/>
    </row>
    <row r="219" spans="1:13" ht="25" x14ac:dyDescent="0.35">
      <c r="A219" s="23" t="s">
        <v>948</v>
      </c>
      <c r="B219" s="24" t="s">
        <v>790</v>
      </c>
      <c r="C219" s="14" t="s">
        <v>56</v>
      </c>
      <c r="D219" s="14" t="s">
        <v>783</v>
      </c>
      <c r="E219" s="14" t="s">
        <v>84</v>
      </c>
      <c r="F219" s="14" t="s">
        <v>949</v>
      </c>
      <c r="G219" s="14" t="s">
        <v>950</v>
      </c>
      <c r="H219" s="14" t="s">
        <v>951</v>
      </c>
      <c r="I219" s="24" t="s">
        <v>64</v>
      </c>
      <c r="J219" s="25"/>
      <c r="K219" s="26"/>
      <c r="L219" s="27"/>
      <c r="M219" s="25"/>
    </row>
    <row r="220" spans="1:13" ht="25" x14ac:dyDescent="0.35">
      <c r="A220" s="23" t="s">
        <v>952</v>
      </c>
      <c r="B220" s="24" t="s">
        <v>790</v>
      </c>
      <c r="C220" s="14" t="s">
        <v>56</v>
      </c>
      <c r="D220" s="14" t="s">
        <v>953</v>
      </c>
      <c r="E220" s="14" t="s">
        <v>84</v>
      </c>
      <c r="F220" s="14" t="s">
        <v>954</v>
      </c>
      <c r="G220" s="14" t="s">
        <v>955</v>
      </c>
      <c r="H220" s="14" t="s">
        <v>956</v>
      </c>
      <c r="I220" s="24" t="s">
        <v>64</v>
      </c>
      <c r="J220" s="25"/>
      <c r="K220" s="26"/>
      <c r="L220" s="27"/>
      <c r="M220" s="25"/>
    </row>
    <row r="221" spans="1:13" x14ac:dyDescent="0.35">
      <c r="A221" s="23" t="s">
        <v>957</v>
      </c>
      <c r="B221" s="24" t="s">
        <v>790</v>
      </c>
      <c r="C221" s="14" t="s">
        <v>56</v>
      </c>
      <c r="D221" s="14" t="s">
        <v>958</v>
      </c>
      <c r="E221" s="14" t="s">
        <v>71</v>
      </c>
      <c r="F221" s="14" t="s">
        <v>959</v>
      </c>
      <c r="G221" s="14" t="s">
        <v>960</v>
      </c>
      <c r="H221" s="14" t="s">
        <v>961</v>
      </c>
      <c r="I221" s="24" t="s">
        <v>65</v>
      </c>
      <c r="J221" s="25"/>
      <c r="K221" s="26"/>
      <c r="L221" s="27"/>
      <c r="M221" s="25"/>
    </row>
    <row r="222" spans="1:13" x14ac:dyDescent="0.35">
      <c r="A222" s="23" t="s">
        <v>962</v>
      </c>
      <c r="B222" s="24" t="s">
        <v>790</v>
      </c>
      <c r="C222" s="14" t="s">
        <v>56</v>
      </c>
      <c r="D222" s="14" t="s">
        <v>257</v>
      </c>
      <c r="E222" s="14" t="s">
        <v>76</v>
      </c>
      <c r="F222" s="14" t="s">
        <v>963</v>
      </c>
      <c r="G222" s="14" t="s">
        <v>964</v>
      </c>
      <c r="H222" s="14" t="s">
        <v>306</v>
      </c>
      <c r="I222" s="24" t="s">
        <v>64</v>
      </c>
      <c r="J222" s="25"/>
      <c r="K222" s="26"/>
      <c r="L222" s="27"/>
      <c r="M222" s="25"/>
    </row>
    <row r="223" spans="1:13" ht="25" x14ac:dyDescent="0.35">
      <c r="A223" s="23" t="s">
        <v>965</v>
      </c>
      <c r="B223" s="24" t="s">
        <v>790</v>
      </c>
      <c r="C223" s="14" t="s">
        <v>56</v>
      </c>
      <c r="D223" s="14" t="s">
        <v>966</v>
      </c>
      <c r="E223" s="14" t="s">
        <v>69</v>
      </c>
      <c r="F223" s="14" t="s">
        <v>967</v>
      </c>
      <c r="G223" s="14" t="s">
        <v>968</v>
      </c>
      <c r="H223" s="14" t="s">
        <v>134</v>
      </c>
      <c r="I223" s="24" t="s">
        <v>64</v>
      </c>
      <c r="J223" s="25"/>
      <c r="K223" s="26"/>
      <c r="L223" s="27"/>
      <c r="M223" s="25"/>
    </row>
    <row r="224" spans="1:13" ht="25" x14ac:dyDescent="0.35">
      <c r="A224" s="23" t="s">
        <v>969</v>
      </c>
      <c r="B224" s="24" t="s">
        <v>736</v>
      </c>
      <c r="C224" s="14" t="s">
        <v>57</v>
      </c>
      <c r="D224" s="14" t="s">
        <v>970</v>
      </c>
      <c r="E224" s="14" t="s">
        <v>69</v>
      </c>
      <c r="F224" s="14" t="s">
        <v>971</v>
      </c>
      <c r="G224" s="14" t="s">
        <v>972</v>
      </c>
      <c r="H224" s="14" t="s">
        <v>467</v>
      </c>
      <c r="I224" s="24" t="s">
        <v>65</v>
      </c>
      <c r="J224" s="25"/>
      <c r="K224" s="26"/>
      <c r="L224" s="27"/>
      <c r="M224" s="25"/>
    </row>
    <row r="225" spans="1:13" ht="25" x14ac:dyDescent="0.35">
      <c r="A225" s="23" t="s">
        <v>973</v>
      </c>
      <c r="B225" s="24" t="s">
        <v>736</v>
      </c>
      <c r="C225" s="14" t="s">
        <v>57</v>
      </c>
      <c r="D225" s="14" t="s">
        <v>970</v>
      </c>
      <c r="E225" s="14" t="s">
        <v>69</v>
      </c>
      <c r="F225" s="14" t="s">
        <v>974</v>
      </c>
      <c r="G225" s="14" t="s">
        <v>975</v>
      </c>
      <c r="H225" s="14" t="s">
        <v>976</v>
      </c>
      <c r="I225" s="24" t="s">
        <v>63</v>
      </c>
      <c r="J225" s="25"/>
      <c r="K225" s="26"/>
      <c r="L225" s="27"/>
      <c r="M225" s="25"/>
    </row>
    <row r="226" spans="1:13" ht="25" x14ac:dyDescent="0.35">
      <c r="A226" s="23" t="s">
        <v>977</v>
      </c>
      <c r="B226" s="24" t="s">
        <v>736</v>
      </c>
      <c r="C226" s="14" t="s">
        <v>57</v>
      </c>
      <c r="D226" s="14" t="s">
        <v>970</v>
      </c>
      <c r="E226" s="14" t="s">
        <v>69</v>
      </c>
      <c r="F226" s="14" t="s">
        <v>978</v>
      </c>
      <c r="G226" s="14" t="s">
        <v>979</v>
      </c>
      <c r="H226" s="14" t="s">
        <v>976</v>
      </c>
      <c r="I226" s="24" t="s">
        <v>64</v>
      </c>
      <c r="J226" s="25"/>
      <c r="K226" s="26"/>
      <c r="L226" s="27"/>
      <c r="M226" s="25"/>
    </row>
    <row r="227" spans="1:13" ht="25" x14ac:dyDescent="0.35">
      <c r="A227" s="23" t="s">
        <v>980</v>
      </c>
      <c r="B227" s="24" t="s">
        <v>736</v>
      </c>
      <c r="C227" s="14" t="s">
        <v>57</v>
      </c>
      <c r="D227" s="14" t="s">
        <v>970</v>
      </c>
      <c r="E227" s="14" t="s">
        <v>69</v>
      </c>
      <c r="F227" s="14" t="s">
        <v>981</v>
      </c>
      <c r="G227" s="14" t="s">
        <v>982</v>
      </c>
      <c r="H227" s="14" t="s">
        <v>976</v>
      </c>
      <c r="I227" s="24" t="s">
        <v>64</v>
      </c>
      <c r="J227" s="25"/>
      <c r="K227" s="26"/>
      <c r="L227" s="27"/>
      <c r="M227" s="25"/>
    </row>
    <row r="228" spans="1:13" ht="25" x14ac:dyDescent="0.35">
      <c r="A228" s="23" t="s">
        <v>983</v>
      </c>
      <c r="B228" s="24" t="s">
        <v>736</v>
      </c>
      <c r="C228" s="14" t="s">
        <v>57</v>
      </c>
      <c r="D228" s="14" t="s">
        <v>970</v>
      </c>
      <c r="E228" s="14" t="s">
        <v>69</v>
      </c>
      <c r="F228" s="14" t="s">
        <v>984</v>
      </c>
      <c r="G228" s="14" t="s">
        <v>985</v>
      </c>
      <c r="H228" s="14" t="s">
        <v>976</v>
      </c>
      <c r="I228" s="24" t="s">
        <v>65</v>
      </c>
      <c r="J228" s="25"/>
      <c r="K228" s="26"/>
      <c r="L228" s="27"/>
      <c r="M228" s="25"/>
    </row>
    <row r="229" spans="1:13" ht="25" x14ac:dyDescent="0.35">
      <c r="A229" s="23" t="s">
        <v>986</v>
      </c>
      <c r="B229" s="24" t="s">
        <v>736</v>
      </c>
      <c r="C229" s="14" t="s">
        <v>57</v>
      </c>
      <c r="D229" s="14" t="s">
        <v>970</v>
      </c>
      <c r="E229" s="14" t="s">
        <v>69</v>
      </c>
      <c r="F229" s="14" t="s">
        <v>987</v>
      </c>
      <c r="G229" s="14" t="s">
        <v>988</v>
      </c>
      <c r="H229" s="14" t="s">
        <v>989</v>
      </c>
      <c r="I229" s="24" t="s">
        <v>64</v>
      </c>
      <c r="J229" s="25"/>
      <c r="K229" s="26"/>
      <c r="L229" s="27"/>
      <c r="M229" s="25"/>
    </row>
    <row r="230" spans="1:13" ht="25" x14ac:dyDescent="0.35">
      <c r="A230" s="23" t="s">
        <v>990</v>
      </c>
      <c r="B230" s="24" t="s">
        <v>736</v>
      </c>
      <c r="C230" s="14" t="s">
        <v>57</v>
      </c>
      <c r="D230" s="14" t="s">
        <v>970</v>
      </c>
      <c r="E230" s="14" t="s">
        <v>69</v>
      </c>
      <c r="F230" s="14" t="s">
        <v>991</v>
      </c>
      <c r="G230" s="14" t="s">
        <v>992</v>
      </c>
      <c r="H230" s="14" t="s">
        <v>993</v>
      </c>
      <c r="I230" s="24" t="s">
        <v>64</v>
      </c>
      <c r="J230" s="25"/>
      <c r="K230" s="26"/>
      <c r="L230" s="27"/>
      <c r="M230" s="25"/>
    </row>
    <row r="231" spans="1:13" ht="25" x14ac:dyDescent="0.35">
      <c r="A231" s="23" t="s">
        <v>994</v>
      </c>
      <c r="B231" s="24" t="s">
        <v>736</v>
      </c>
      <c r="C231" s="14" t="s">
        <v>57</v>
      </c>
      <c r="D231" s="14" t="s">
        <v>970</v>
      </c>
      <c r="E231" s="14" t="s">
        <v>69</v>
      </c>
      <c r="F231" s="14" t="s">
        <v>995</v>
      </c>
      <c r="G231" s="14" t="s">
        <v>996</v>
      </c>
      <c r="H231" s="14" t="s">
        <v>467</v>
      </c>
      <c r="I231" s="24" t="s">
        <v>65</v>
      </c>
      <c r="J231" s="25"/>
      <c r="K231" s="26"/>
      <c r="L231" s="27"/>
      <c r="M231" s="25"/>
    </row>
    <row r="232" spans="1:13" ht="25" x14ac:dyDescent="0.35">
      <c r="A232" s="23" t="s">
        <v>997</v>
      </c>
      <c r="B232" s="24" t="s">
        <v>736</v>
      </c>
      <c r="C232" s="14" t="s">
        <v>57</v>
      </c>
      <c r="D232" s="14" t="s">
        <v>970</v>
      </c>
      <c r="E232" s="14" t="s">
        <v>69</v>
      </c>
      <c r="F232" s="14" t="s">
        <v>998</v>
      </c>
      <c r="G232" s="14" t="s">
        <v>999</v>
      </c>
      <c r="H232" s="14" t="s">
        <v>467</v>
      </c>
      <c r="I232" s="24" t="s">
        <v>65</v>
      </c>
      <c r="J232" s="25"/>
      <c r="K232" s="26"/>
      <c r="L232" s="27"/>
      <c r="M232" s="25"/>
    </row>
    <row r="233" spans="1:13" ht="25" x14ac:dyDescent="0.35">
      <c r="A233" s="23" t="s">
        <v>1000</v>
      </c>
      <c r="B233" s="24" t="s">
        <v>736</v>
      </c>
      <c r="C233" s="14" t="s">
        <v>57</v>
      </c>
      <c r="D233" s="14" t="s">
        <v>970</v>
      </c>
      <c r="E233" s="14" t="s">
        <v>69</v>
      </c>
      <c r="F233" s="14" t="s">
        <v>1001</v>
      </c>
      <c r="G233" s="14" t="s">
        <v>1002</v>
      </c>
      <c r="H233" s="14" t="s">
        <v>467</v>
      </c>
      <c r="I233" s="24" t="s">
        <v>65</v>
      </c>
      <c r="J233" s="25"/>
      <c r="K233" s="26"/>
      <c r="L233" s="27"/>
      <c r="M233" s="25"/>
    </row>
    <row r="234" spans="1:13" ht="25" x14ac:dyDescent="0.35">
      <c r="A234" s="23" t="s">
        <v>1003</v>
      </c>
      <c r="B234" s="24" t="s">
        <v>736</v>
      </c>
      <c r="C234" s="14" t="s">
        <v>57</v>
      </c>
      <c r="D234" s="14" t="s">
        <v>970</v>
      </c>
      <c r="E234" s="14" t="s">
        <v>69</v>
      </c>
      <c r="F234" s="14" t="s">
        <v>1004</v>
      </c>
      <c r="G234" s="14" t="s">
        <v>1005</v>
      </c>
      <c r="H234" s="14" t="s">
        <v>1006</v>
      </c>
      <c r="I234" s="24" t="s">
        <v>65</v>
      </c>
      <c r="J234" s="25"/>
      <c r="K234" s="26"/>
      <c r="L234" s="27"/>
      <c r="M234" s="25"/>
    </row>
    <row r="235" spans="1:13" ht="25" x14ac:dyDescent="0.35">
      <c r="A235" s="23" t="s">
        <v>1007</v>
      </c>
      <c r="B235" s="24" t="s">
        <v>736</v>
      </c>
      <c r="C235" s="14" t="s">
        <v>57</v>
      </c>
      <c r="D235" s="14" t="s">
        <v>970</v>
      </c>
      <c r="E235" s="14" t="s">
        <v>69</v>
      </c>
      <c r="F235" s="14" t="s">
        <v>1008</v>
      </c>
      <c r="G235" s="14" t="s">
        <v>1009</v>
      </c>
      <c r="H235" s="14" t="s">
        <v>1010</v>
      </c>
      <c r="I235" s="24" t="s">
        <v>64</v>
      </c>
      <c r="J235" s="25"/>
      <c r="K235" s="26"/>
      <c r="L235" s="27"/>
      <c r="M235" s="25"/>
    </row>
    <row r="236" spans="1:13" ht="25" x14ac:dyDescent="0.35">
      <c r="A236" s="23" t="s">
        <v>1011</v>
      </c>
      <c r="B236" s="24" t="s">
        <v>736</v>
      </c>
      <c r="C236" s="14" t="s">
        <v>57</v>
      </c>
      <c r="D236" s="14" t="s">
        <v>970</v>
      </c>
      <c r="E236" s="14" t="s">
        <v>69</v>
      </c>
      <c r="F236" s="14" t="s">
        <v>1012</v>
      </c>
      <c r="G236" s="14" t="s">
        <v>1013</v>
      </c>
      <c r="H236" s="14" t="s">
        <v>377</v>
      </c>
      <c r="I236" s="24" t="s">
        <v>64</v>
      </c>
      <c r="J236" s="25"/>
      <c r="K236" s="26"/>
      <c r="L236" s="27"/>
      <c r="M236" s="25"/>
    </row>
    <row r="237" spans="1:13" ht="25" x14ac:dyDescent="0.35">
      <c r="A237" s="23" t="s">
        <v>1014</v>
      </c>
      <c r="B237" s="24" t="s">
        <v>736</v>
      </c>
      <c r="C237" s="14" t="s">
        <v>57</v>
      </c>
      <c r="D237" s="14" t="s">
        <v>296</v>
      </c>
      <c r="E237" s="14" t="s">
        <v>69</v>
      </c>
      <c r="F237" s="14" t="s">
        <v>1015</v>
      </c>
      <c r="G237" s="14" t="s">
        <v>1016</v>
      </c>
      <c r="H237" s="14" t="s">
        <v>134</v>
      </c>
      <c r="I237" s="24" t="s">
        <v>63</v>
      </c>
      <c r="J237" s="25"/>
      <c r="K237" s="26"/>
      <c r="L237" s="27"/>
      <c r="M237" s="25"/>
    </row>
    <row r="238" spans="1:13" ht="25" x14ac:dyDescent="0.35">
      <c r="A238" s="23" t="s">
        <v>1017</v>
      </c>
      <c r="B238" s="24" t="s">
        <v>736</v>
      </c>
      <c r="C238" s="14" t="s">
        <v>57</v>
      </c>
      <c r="D238" s="14" t="s">
        <v>1018</v>
      </c>
      <c r="E238" s="14" t="s">
        <v>69</v>
      </c>
      <c r="F238" s="14" t="s">
        <v>1019</v>
      </c>
      <c r="G238" s="14" t="s">
        <v>1020</v>
      </c>
      <c r="H238" s="14" t="s">
        <v>463</v>
      </c>
      <c r="I238" s="24" t="s">
        <v>65</v>
      </c>
      <c r="J238" s="25"/>
      <c r="K238" s="26"/>
      <c r="L238" s="27"/>
      <c r="M238" s="25"/>
    </row>
    <row r="239" spans="1:13" ht="25" x14ac:dyDescent="0.35">
      <c r="A239" s="23" t="s">
        <v>1021</v>
      </c>
      <c r="B239" s="24" t="s">
        <v>736</v>
      </c>
      <c r="C239" s="14" t="s">
        <v>57</v>
      </c>
      <c r="D239" s="14" t="s">
        <v>1022</v>
      </c>
      <c r="E239" s="14" t="s">
        <v>69</v>
      </c>
      <c r="F239" s="14" t="s">
        <v>1023</v>
      </c>
      <c r="G239" s="14" t="s">
        <v>1024</v>
      </c>
      <c r="H239" s="14" t="s">
        <v>130</v>
      </c>
      <c r="I239" s="24" t="s">
        <v>64</v>
      </c>
      <c r="J239" s="25"/>
      <c r="K239" s="26"/>
      <c r="L239" s="27"/>
      <c r="M239" s="25"/>
    </row>
    <row r="240" spans="1:13" ht="25" x14ac:dyDescent="0.35">
      <c r="A240" s="23" t="s">
        <v>1025</v>
      </c>
      <c r="B240" s="24" t="s">
        <v>736</v>
      </c>
      <c r="C240" s="14" t="s">
        <v>57</v>
      </c>
      <c r="D240" s="14" t="s">
        <v>610</v>
      </c>
      <c r="E240" s="14" t="s">
        <v>78</v>
      </c>
      <c r="F240" s="14" t="s">
        <v>1026</v>
      </c>
      <c r="G240" s="14" t="s">
        <v>1027</v>
      </c>
      <c r="H240" s="14" t="s">
        <v>610</v>
      </c>
      <c r="I240" s="24" t="s">
        <v>65</v>
      </c>
      <c r="J240" s="25"/>
      <c r="K240" s="26"/>
      <c r="L240" s="27"/>
      <c r="M240" s="25"/>
    </row>
    <row r="241" spans="1:13" ht="25" x14ac:dyDescent="0.35">
      <c r="A241" s="23" t="s">
        <v>1028</v>
      </c>
      <c r="B241" s="24" t="s">
        <v>736</v>
      </c>
      <c r="C241" s="14" t="s">
        <v>57</v>
      </c>
      <c r="D241" s="14" t="s">
        <v>1029</v>
      </c>
      <c r="E241" s="14" t="s">
        <v>69</v>
      </c>
      <c r="F241" s="14" t="s">
        <v>1030</v>
      </c>
      <c r="G241" s="14" t="s">
        <v>1031</v>
      </c>
      <c r="H241" s="14" t="s">
        <v>122</v>
      </c>
      <c r="I241" s="24" t="s">
        <v>63</v>
      </c>
      <c r="J241" s="25"/>
      <c r="K241" s="26"/>
      <c r="L241" s="27"/>
      <c r="M241" s="25"/>
    </row>
    <row r="242" spans="1:13" ht="25" x14ac:dyDescent="0.35">
      <c r="A242" s="23" t="s">
        <v>1032</v>
      </c>
      <c r="B242" s="24" t="s">
        <v>736</v>
      </c>
      <c r="C242" s="14" t="s">
        <v>57</v>
      </c>
      <c r="D242" s="14" t="s">
        <v>1033</v>
      </c>
      <c r="E242" s="14" t="s">
        <v>69</v>
      </c>
      <c r="F242" s="14" t="s">
        <v>1034</v>
      </c>
      <c r="G242" s="14" t="s">
        <v>1035</v>
      </c>
      <c r="H242" s="14" t="s">
        <v>1036</v>
      </c>
      <c r="I242" s="24" t="s">
        <v>64</v>
      </c>
      <c r="J242" s="25"/>
      <c r="K242" s="26"/>
      <c r="L242" s="27"/>
      <c r="M242" s="25"/>
    </row>
    <row r="243" spans="1:13" ht="25" x14ac:dyDescent="0.35">
      <c r="A243" s="23" t="s">
        <v>1037</v>
      </c>
      <c r="B243" s="24" t="s">
        <v>1038</v>
      </c>
      <c r="C243" s="14" t="s">
        <v>58</v>
      </c>
      <c r="D243" s="14" t="s">
        <v>1033</v>
      </c>
      <c r="E243" s="14" t="s">
        <v>69</v>
      </c>
      <c r="F243" s="14" t="s">
        <v>1039</v>
      </c>
      <c r="G243" s="14" t="s">
        <v>1040</v>
      </c>
      <c r="H243" s="14" t="s">
        <v>1041</v>
      </c>
      <c r="I243" s="24" t="s">
        <v>63</v>
      </c>
      <c r="J243" s="25"/>
      <c r="K243" s="26"/>
      <c r="L243" s="27"/>
      <c r="M243" s="25"/>
    </row>
    <row r="244" spans="1:13" ht="25" x14ac:dyDescent="0.35">
      <c r="A244" s="23" t="s">
        <v>1042</v>
      </c>
      <c r="B244" s="24" t="s">
        <v>1038</v>
      </c>
      <c r="C244" s="14" t="s">
        <v>58</v>
      </c>
      <c r="D244" s="14" t="s">
        <v>1033</v>
      </c>
      <c r="E244" s="14" t="s">
        <v>75</v>
      </c>
      <c r="F244" s="14" t="s">
        <v>1043</v>
      </c>
      <c r="G244" s="14" t="s">
        <v>1044</v>
      </c>
      <c r="H244" s="14" t="s">
        <v>1041</v>
      </c>
      <c r="I244" s="24" t="s">
        <v>64</v>
      </c>
      <c r="J244" s="25"/>
      <c r="K244" s="26"/>
      <c r="L244" s="27"/>
      <c r="M244" s="25"/>
    </row>
    <row r="245" spans="1:13" ht="25" x14ac:dyDescent="0.35">
      <c r="A245" s="23" t="s">
        <v>1045</v>
      </c>
      <c r="B245" s="24" t="s">
        <v>1038</v>
      </c>
      <c r="C245" s="14" t="s">
        <v>58</v>
      </c>
      <c r="D245" s="14" t="s">
        <v>1033</v>
      </c>
      <c r="E245" s="14" t="s">
        <v>71</v>
      </c>
      <c r="F245" s="14" t="s">
        <v>1046</v>
      </c>
      <c r="G245" s="14" t="s">
        <v>1047</v>
      </c>
      <c r="H245" s="14" t="s">
        <v>1041</v>
      </c>
      <c r="I245" s="24" t="s">
        <v>64</v>
      </c>
      <c r="J245" s="25"/>
      <c r="K245" s="26"/>
      <c r="L245" s="27"/>
      <c r="M245" s="25"/>
    </row>
    <row r="246" spans="1:13" ht="25" x14ac:dyDescent="0.35">
      <c r="A246" s="23" t="s">
        <v>1048</v>
      </c>
      <c r="B246" s="24" t="s">
        <v>1038</v>
      </c>
      <c r="C246" s="14" t="s">
        <v>58</v>
      </c>
      <c r="D246" s="14" t="s">
        <v>1033</v>
      </c>
      <c r="E246" s="14" t="s">
        <v>72</v>
      </c>
      <c r="F246" s="14" t="s">
        <v>1049</v>
      </c>
      <c r="G246" s="14" t="s">
        <v>1050</v>
      </c>
      <c r="H246" s="14" t="s">
        <v>1041</v>
      </c>
      <c r="I246" s="24" t="s">
        <v>63</v>
      </c>
      <c r="J246" s="25"/>
      <c r="K246" s="26"/>
      <c r="L246" s="27"/>
      <c r="M246" s="25"/>
    </row>
    <row r="247" spans="1:13" ht="25" x14ac:dyDescent="0.35">
      <c r="A247" s="23" t="s">
        <v>1051</v>
      </c>
      <c r="B247" s="24" t="s">
        <v>1038</v>
      </c>
      <c r="C247" s="14" t="s">
        <v>58</v>
      </c>
      <c r="D247" s="14" t="s">
        <v>1033</v>
      </c>
      <c r="E247" s="14" t="s">
        <v>78</v>
      </c>
      <c r="F247" s="14" t="s">
        <v>1052</v>
      </c>
      <c r="G247" s="14" t="s">
        <v>1053</v>
      </c>
      <c r="H247" s="14" t="s">
        <v>1041</v>
      </c>
      <c r="I247" s="24" t="s">
        <v>64</v>
      </c>
      <c r="J247" s="25"/>
      <c r="K247" s="26"/>
      <c r="L247" s="27"/>
      <c r="M247" s="25"/>
    </row>
    <row r="248" spans="1:13" ht="25" x14ac:dyDescent="0.35">
      <c r="A248" s="23" t="s">
        <v>1054</v>
      </c>
      <c r="B248" s="24" t="s">
        <v>1038</v>
      </c>
      <c r="C248" s="14" t="s">
        <v>58</v>
      </c>
      <c r="D248" s="14" t="s">
        <v>1033</v>
      </c>
      <c r="E248" s="14" t="s">
        <v>73</v>
      </c>
      <c r="F248" s="14" t="s">
        <v>1055</v>
      </c>
      <c r="G248" s="14" t="s">
        <v>1056</v>
      </c>
      <c r="H248" s="14" t="s">
        <v>1041</v>
      </c>
      <c r="I248" s="24" t="s">
        <v>64</v>
      </c>
      <c r="J248" s="25"/>
      <c r="K248" s="26"/>
      <c r="L248" s="27"/>
      <c r="M248" s="25"/>
    </row>
    <row r="249" spans="1:13" ht="25" x14ac:dyDescent="0.35">
      <c r="A249" s="23" t="s">
        <v>1057</v>
      </c>
      <c r="B249" s="24" t="s">
        <v>1038</v>
      </c>
      <c r="C249" s="14" t="s">
        <v>58</v>
      </c>
      <c r="D249" s="14" t="s">
        <v>1033</v>
      </c>
      <c r="E249" s="14" t="s">
        <v>76</v>
      </c>
      <c r="F249" s="14" t="s">
        <v>1058</v>
      </c>
      <c r="G249" s="14" t="s">
        <v>1059</v>
      </c>
      <c r="H249" s="14" t="s">
        <v>1041</v>
      </c>
      <c r="I249" s="24" t="s">
        <v>64</v>
      </c>
      <c r="J249" s="25"/>
      <c r="K249" s="26"/>
      <c r="L249" s="27"/>
      <c r="M249" s="25"/>
    </row>
    <row r="250" spans="1:13" ht="25" x14ac:dyDescent="0.35">
      <c r="A250" s="23" t="s">
        <v>1060</v>
      </c>
      <c r="B250" s="24" t="s">
        <v>1038</v>
      </c>
      <c r="C250" s="14" t="s">
        <v>58</v>
      </c>
      <c r="D250" s="14" t="s">
        <v>1033</v>
      </c>
      <c r="E250" s="14" t="s">
        <v>77</v>
      </c>
      <c r="F250" s="14" t="s">
        <v>1061</v>
      </c>
      <c r="G250" s="14" t="s">
        <v>1062</v>
      </c>
      <c r="H250" s="14" t="s">
        <v>1041</v>
      </c>
      <c r="I250" s="24" t="s">
        <v>64</v>
      </c>
      <c r="J250" s="25"/>
      <c r="K250" s="26"/>
      <c r="L250" s="27"/>
      <c r="M250" s="25"/>
    </row>
    <row r="251" spans="1:13" ht="37.5" x14ac:dyDescent="0.35">
      <c r="A251" s="23" t="s">
        <v>1063</v>
      </c>
      <c r="B251" s="24" t="s">
        <v>1038</v>
      </c>
      <c r="C251" s="14" t="s">
        <v>58</v>
      </c>
      <c r="D251" s="14" t="s">
        <v>1033</v>
      </c>
      <c r="E251" s="14" t="s">
        <v>85</v>
      </c>
      <c r="F251" s="14" t="s">
        <v>1064</v>
      </c>
      <c r="G251" s="14" t="s">
        <v>1065</v>
      </c>
      <c r="H251" s="14" t="s">
        <v>1041</v>
      </c>
      <c r="I251" s="24" t="s">
        <v>64</v>
      </c>
      <c r="J251" s="25"/>
      <c r="K251" s="26"/>
      <c r="L251" s="27"/>
      <c r="M251" s="25"/>
    </row>
    <row r="252" spans="1:13" ht="25" x14ac:dyDescent="0.35">
      <c r="A252" s="23" t="s">
        <v>1066</v>
      </c>
      <c r="B252" s="24" t="s">
        <v>1038</v>
      </c>
      <c r="C252" s="14" t="s">
        <v>58</v>
      </c>
      <c r="D252" s="14" t="s">
        <v>1067</v>
      </c>
      <c r="E252" s="14" t="s">
        <v>70</v>
      </c>
      <c r="F252" s="14" t="s">
        <v>1068</v>
      </c>
      <c r="G252" s="14" t="s">
        <v>1069</v>
      </c>
      <c r="H252" s="14" t="s">
        <v>164</v>
      </c>
      <c r="I252" s="24" t="s">
        <v>64</v>
      </c>
      <c r="J252" s="25"/>
      <c r="K252" s="26"/>
      <c r="L252" s="27"/>
      <c r="M252" s="25"/>
    </row>
    <row r="253" spans="1:13" ht="25" x14ac:dyDescent="0.35">
      <c r="A253" s="23" t="s">
        <v>1070</v>
      </c>
      <c r="B253" s="24" t="s">
        <v>1038</v>
      </c>
      <c r="C253" s="14" t="s">
        <v>59</v>
      </c>
      <c r="D253" s="14" t="s">
        <v>257</v>
      </c>
      <c r="E253" s="14" t="s">
        <v>76</v>
      </c>
      <c r="F253" s="14" t="s">
        <v>1071</v>
      </c>
      <c r="G253" s="14" t="s">
        <v>1072</v>
      </c>
      <c r="H253" s="14" t="s">
        <v>257</v>
      </c>
      <c r="I253" s="24" t="s">
        <v>63</v>
      </c>
      <c r="J253" s="25"/>
      <c r="K253" s="26"/>
      <c r="L253" s="27"/>
      <c r="M253" s="25"/>
    </row>
    <row r="254" spans="1:13" x14ac:dyDescent="0.35">
      <c r="A254" s="23" t="s">
        <v>1073</v>
      </c>
      <c r="B254" s="24" t="s">
        <v>1038</v>
      </c>
      <c r="C254" s="14" t="s">
        <v>59</v>
      </c>
      <c r="D254" s="14" t="s">
        <v>257</v>
      </c>
      <c r="E254" s="14" t="s">
        <v>74</v>
      </c>
      <c r="F254" s="14" t="s">
        <v>1074</v>
      </c>
      <c r="G254" s="14" t="s">
        <v>1075</v>
      </c>
      <c r="H254" s="14" t="s">
        <v>257</v>
      </c>
      <c r="I254" s="24" t="s">
        <v>64</v>
      </c>
      <c r="J254" s="25"/>
      <c r="K254" s="26"/>
      <c r="L254" s="27"/>
      <c r="M254" s="25"/>
    </row>
    <row r="255" spans="1:13" x14ac:dyDescent="0.35">
      <c r="A255" s="23" t="s">
        <v>1076</v>
      </c>
      <c r="B255" s="24" t="s">
        <v>1038</v>
      </c>
      <c r="C255" s="14" t="s">
        <v>59</v>
      </c>
      <c r="D255" s="14" t="s">
        <v>257</v>
      </c>
      <c r="E255" s="14" t="s">
        <v>75</v>
      </c>
      <c r="F255" s="14" t="s">
        <v>1077</v>
      </c>
      <c r="G255" s="14" t="s">
        <v>1078</v>
      </c>
      <c r="H255" s="14" t="s">
        <v>257</v>
      </c>
      <c r="I255" s="24" t="s">
        <v>63</v>
      </c>
      <c r="J255" s="25"/>
      <c r="K255" s="26"/>
      <c r="L255" s="27"/>
      <c r="M255" s="25"/>
    </row>
    <row r="256" spans="1:13" x14ac:dyDescent="0.35">
      <c r="A256" s="23" t="s">
        <v>1079</v>
      </c>
      <c r="B256" s="24" t="s">
        <v>1038</v>
      </c>
      <c r="C256" s="14" t="s">
        <v>59</v>
      </c>
      <c r="D256" s="14" t="s">
        <v>217</v>
      </c>
      <c r="E256" s="14" t="s">
        <v>71</v>
      </c>
      <c r="F256" s="14" t="s">
        <v>1080</v>
      </c>
      <c r="G256" s="14" t="s">
        <v>1081</v>
      </c>
      <c r="H256" s="14" t="s">
        <v>178</v>
      </c>
      <c r="I256" s="24" t="s">
        <v>64</v>
      </c>
      <c r="J256" s="25"/>
      <c r="K256" s="26"/>
      <c r="L256" s="27"/>
      <c r="M256" s="25"/>
    </row>
    <row r="257" spans="1:13" x14ac:dyDescent="0.35">
      <c r="A257" s="23" t="s">
        <v>1082</v>
      </c>
      <c r="B257" s="24" t="s">
        <v>1038</v>
      </c>
      <c r="C257" s="14" t="s">
        <v>59</v>
      </c>
      <c r="D257" s="14" t="s">
        <v>187</v>
      </c>
      <c r="E257" s="14" t="s">
        <v>69</v>
      </c>
      <c r="F257" s="14" t="s">
        <v>1083</v>
      </c>
      <c r="G257" s="14" t="s">
        <v>1084</v>
      </c>
      <c r="H257" s="14" t="s">
        <v>178</v>
      </c>
      <c r="I257" s="24" t="s">
        <v>64</v>
      </c>
      <c r="J257" s="25"/>
      <c r="K257" s="26"/>
      <c r="L257" s="27"/>
      <c r="M257" s="25"/>
    </row>
    <row r="258" spans="1:13" x14ac:dyDescent="0.35">
      <c r="A258" s="23" t="s">
        <v>1085</v>
      </c>
      <c r="B258" s="24" t="s">
        <v>1038</v>
      </c>
      <c r="C258" s="14" t="s">
        <v>59</v>
      </c>
      <c r="D258" s="14" t="s">
        <v>187</v>
      </c>
      <c r="E258" s="14" t="s">
        <v>71</v>
      </c>
      <c r="F258" s="14" t="s">
        <v>1086</v>
      </c>
      <c r="G258" s="14" t="s">
        <v>1087</v>
      </c>
      <c r="H258" s="14" t="s">
        <v>178</v>
      </c>
      <c r="I258" s="24" t="s">
        <v>64</v>
      </c>
      <c r="J258" s="25"/>
      <c r="K258" s="26"/>
      <c r="L258" s="27"/>
      <c r="M258" s="25"/>
    </row>
    <row r="259" spans="1:13" x14ac:dyDescent="0.35">
      <c r="A259" s="23" t="s">
        <v>1088</v>
      </c>
      <c r="B259" s="24" t="s">
        <v>1038</v>
      </c>
      <c r="C259" s="14" t="s">
        <v>59</v>
      </c>
      <c r="D259" s="14" t="s">
        <v>217</v>
      </c>
      <c r="E259" s="14" t="s">
        <v>74</v>
      </c>
      <c r="F259" s="14" t="s">
        <v>1089</v>
      </c>
      <c r="G259" s="14" t="s">
        <v>1090</v>
      </c>
      <c r="H259" s="14" t="s">
        <v>255</v>
      </c>
      <c r="I259" s="24" t="s">
        <v>65</v>
      </c>
      <c r="J259" s="25"/>
      <c r="K259" s="26"/>
      <c r="L259" s="27"/>
      <c r="M259" s="25"/>
    </row>
    <row r="260" spans="1:13" x14ac:dyDescent="0.35">
      <c r="A260" s="23" t="s">
        <v>1091</v>
      </c>
      <c r="B260" s="24" t="s">
        <v>1038</v>
      </c>
      <c r="C260" s="14" t="s">
        <v>59</v>
      </c>
      <c r="D260" s="14" t="s">
        <v>1092</v>
      </c>
      <c r="E260" s="14" t="s">
        <v>74</v>
      </c>
      <c r="F260" s="14" t="s">
        <v>1093</v>
      </c>
      <c r="G260" s="14" t="s">
        <v>1094</v>
      </c>
      <c r="H260" s="14" t="s">
        <v>799</v>
      </c>
      <c r="I260" s="24" t="s">
        <v>64</v>
      </c>
      <c r="J260" s="25"/>
      <c r="K260" s="26"/>
      <c r="L260" s="27"/>
      <c r="M260" s="25"/>
    </row>
    <row r="261" spans="1:13" x14ac:dyDescent="0.35">
      <c r="A261" s="23" t="s">
        <v>1095</v>
      </c>
      <c r="B261" s="24" t="s">
        <v>1038</v>
      </c>
      <c r="C261" s="14" t="s">
        <v>59</v>
      </c>
      <c r="D261" s="14" t="s">
        <v>1096</v>
      </c>
      <c r="E261" s="14" t="s">
        <v>74</v>
      </c>
      <c r="F261" s="14" t="s">
        <v>1097</v>
      </c>
      <c r="G261" s="14" t="s">
        <v>1098</v>
      </c>
      <c r="H261" s="14" t="s">
        <v>1099</v>
      </c>
      <c r="I261" s="24" t="s">
        <v>64</v>
      </c>
      <c r="J261" s="25"/>
      <c r="K261" s="26"/>
      <c r="L261" s="27"/>
      <c r="M261" s="25"/>
    </row>
    <row r="262" spans="1:13" x14ac:dyDescent="0.35">
      <c r="A262" s="23" t="s">
        <v>1100</v>
      </c>
      <c r="B262" s="24" t="s">
        <v>1038</v>
      </c>
      <c r="C262" s="14" t="s">
        <v>59</v>
      </c>
      <c r="D262" s="14" t="s">
        <v>1096</v>
      </c>
      <c r="E262" s="14" t="s">
        <v>76</v>
      </c>
      <c r="F262" s="14" t="s">
        <v>1101</v>
      </c>
      <c r="G262" s="14" t="s">
        <v>1102</v>
      </c>
      <c r="H262" s="14" t="s">
        <v>1103</v>
      </c>
      <c r="I262" s="24" t="s">
        <v>65</v>
      </c>
      <c r="J262" s="25"/>
      <c r="K262" s="26"/>
      <c r="L262" s="27"/>
      <c r="M262" s="25"/>
    </row>
    <row r="263" spans="1:13" x14ac:dyDescent="0.35">
      <c r="A263" s="23" t="s">
        <v>1104</v>
      </c>
      <c r="B263" s="24" t="s">
        <v>1038</v>
      </c>
      <c r="C263" s="14" t="s">
        <v>59</v>
      </c>
      <c r="D263" s="14" t="s">
        <v>1018</v>
      </c>
      <c r="E263" s="14" t="s">
        <v>69</v>
      </c>
      <c r="F263" s="14" t="s">
        <v>1105</v>
      </c>
      <c r="G263" s="14" t="s">
        <v>1106</v>
      </c>
      <c r="H263" s="14" t="s">
        <v>961</v>
      </c>
      <c r="I263" s="24" t="s">
        <v>64</v>
      </c>
      <c r="J263" s="25"/>
      <c r="K263" s="26"/>
      <c r="L263" s="27"/>
      <c r="M263" s="25"/>
    </row>
    <row r="264" spans="1:13" ht="25" x14ac:dyDescent="0.35">
      <c r="A264" s="23" t="s">
        <v>1107</v>
      </c>
      <c r="B264" s="24" t="s">
        <v>1038</v>
      </c>
      <c r="C264" s="14" t="s">
        <v>59</v>
      </c>
      <c r="D264" s="14" t="s">
        <v>1018</v>
      </c>
      <c r="E264" s="14" t="s">
        <v>74</v>
      </c>
      <c r="F264" s="14" t="s">
        <v>1108</v>
      </c>
      <c r="G264" s="14" t="s">
        <v>1109</v>
      </c>
      <c r="H264" s="14" t="s">
        <v>1110</v>
      </c>
      <c r="I264" s="24" t="s">
        <v>65</v>
      </c>
      <c r="J264" s="25"/>
      <c r="K264" s="26"/>
      <c r="L264" s="27"/>
      <c r="M264" s="25"/>
    </row>
    <row r="265" spans="1:13" x14ac:dyDescent="0.35">
      <c r="A265" s="23" t="s">
        <v>1111</v>
      </c>
      <c r="B265" s="24" t="s">
        <v>1038</v>
      </c>
      <c r="C265" s="14" t="s">
        <v>59</v>
      </c>
      <c r="D265" s="14" t="s">
        <v>1112</v>
      </c>
      <c r="E265" s="14" t="s">
        <v>78</v>
      </c>
      <c r="F265" s="14" t="s">
        <v>1113</v>
      </c>
      <c r="G265" s="14" t="s">
        <v>1114</v>
      </c>
      <c r="H265" s="14" t="s">
        <v>652</v>
      </c>
      <c r="I265" s="24" t="s">
        <v>65</v>
      </c>
      <c r="J265" s="25"/>
      <c r="K265" s="26"/>
      <c r="L265" s="27"/>
      <c r="M265" s="25"/>
    </row>
    <row r="266" spans="1:13" x14ac:dyDescent="0.35">
      <c r="A266" s="23" t="s">
        <v>1115</v>
      </c>
      <c r="B266" s="24" t="s">
        <v>1038</v>
      </c>
      <c r="C266" s="14" t="s">
        <v>59</v>
      </c>
      <c r="D266" s="14" t="s">
        <v>1116</v>
      </c>
      <c r="E266" s="14" t="s">
        <v>70</v>
      </c>
      <c r="F266" s="14" t="s">
        <v>1117</v>
      </c>
      <c r="G266" s="14" t="s">
        <v>1118</v>
      </c>
      <c r="H266" s="14" t="s">
        <v>1119</v>
      </c>
      <c r="I266" s="24" t="s">
        <v>64</v>
      </c>
      <c r="J266" s="25"/>
      <c r="K266" s="26"/>
      <c r="L266" s="27"/>
      <c r="M266" s="25"/>
    </row>
    <row r="267" spans="1:13" x14ac:dyDescent="0.35">
      <c r="A267" s="23" t="s">
        <v>1120</v>
      </c>
      <c r="B267" s="24" t="s">
        <v>1038</v>
      </c>
      <c r="C267" s="14" t="s">
        <v>59</v>
      </c>
      <c r="D267" s="14" t="s">
        <v>1121</v>
      </c>
      <c r="E267" s="14" t="s">
        <v>71</v>
      </c>
      <c r="F267" s="14" t="s">
        <v>1122</v>
      </c>
      <c r="G267" s="14" t="s">
        <v>1123</v>
      </c>
      <c r="H267" s="14" t="s">
        <v>1124</v>
      </c>
      <c r="I267" s="24" t="s">
        <v>64</v>
      </c>
      <c r="J267" s="25"/>
      <c r="K267" s="26"/>
      <c r="L267" s="27"/>
      <c r="M267" s="25"/>
    </row>
    <row r="268" spans="1:13" x14ac:dyDescent="0.35">
      <c r="A268" s="23" t="s">
        <v>1125</v>
      </c>
      <c r="B268" s="24" t="s">
        <v>1038</v>
      </c>
      <c r="C268" s="14" t="s">
        <v>59</v>
      </c>
      <c r="D268" s="14" t="s">
        <v>657</v>
      </c>
      <c r="E268" s="14" t="s">
        <v>74</v>
      </c>
      <c r="F268" s="14" t="s">
        <v>1126</v>
      </c>
      <c r="G268" s="14" t="s">
        <v>1127</v>
      </c>
      <c r="H268" s="14" t="s">
        <v>660</v>
      </c>
      <c r="I268" s="24" t="s">
        <v>65</v>
      </c>
      <c r="J268" s="25"/>
      <c r="K268" s="26"/>
      <c r="L268" s="27"/>
      <c r="M268" s="25"/>
    </row>
    <row r="269" spans="1:13" ht="25" x14ac:dyDescent="0.35">
      <c r="A269" s="23" t="s">
        <v>1128</v>
      </c>
      <c r="B269" s="24" t="s">
        <v>1038</v>
      </c>
      <c r="C269" s="14" t="s">
        <v>59</v>
      </c>
      <c r="D269" s="14" t="s">
        <v>1129</v>
      </c>
      <c r="E269" s="14" t="s">
        <v>72</v>
      </c>
      <c r="F269" s="14" t="s">
        <v>1130</v>
      </c>
      <c r="G269" s="14" t="s">
        <v>1131</v>
      </c>
      <c r="H269" s="14" t="s">
        <v>1132</v>
      </c>
      <c r="I269" s="24" t="s">
        <v>64</v>
      </c>
      <c r="J269" s="25"/>
      <c r="K269" s="26"/>
      <c r="L269" s="27"/>
      <c r="M269" s="25"/>
    </row>
    <row r="270" spans="1:13" x14ac:dyDescent="0.35">
      <c r="A270" s="23" t="s">
        <v>1133</v>
      </c>
      <c r="B270" s="24" t="s">
        <v>1038</v>
      </c>
      <c r="C270" s="14" t="s">
        <v>59</v>
      </c>
      <c r="D270" s="14" t="s">
        <v>22</v>
      </c>
      <c r="E270" s="14" t="s">
        <v>70</v>
      </c>
      <c r="F270" s="14" t="s">
        <v>1134</v>
      </c>
      <c r="G270" s="14" t="s">
        <v>1135</v>
      </c>
      <c r="H270" s="14" t="s">
        <v>1136</v>
      </c>
      <c r="I270" s="24" t="s">
        <v>64</v>
      </c>
      <c r="J270" s="25"/>
      <c r="K270" s="26"/>
      <c r="L270" s="27"/>
      <c r="M270" s="25"/>
    </row>
    <row r="271" spans="1:13" ht="25" x14ac:dyDescent="0.35">
      <c r="A271" s="23" t="s">
        <v>1137</v>
      </c>
      <c r="B271" s="24" t="s">
        <v>1038</v>
      </c>
      <c r="C271" s="14" t="s">
        <v>60</v>
      </c>
      <c r="D271" s="14" t="s">
        <v>610</v>
      </c>
      <c r="E271" s="14" t="s">
        <v>78</v>
      </c>
      <c r="F271" s="14" t="s">
        <v>1138</v>
      </c>
      <c r="G271" s="14" t="s">
        <v>1139</v>
      </c>
      <c r="H271" s="14" t="s">
        <v>1140</v>
      </c>
      <c r="I271" s="24" t="s">
        <v>64</v>
      </c>
      <c r="J271" s="25"/>
      <c r="K271" s="26"/>
      <c r="L271" s="27"/>
      <c r="M271" s="25"/>
    </row>
    <row r="272" spans="1:13" ht="25" x14ac:dyDescent="0.35">
      <c r="A272" s="23" t="s">
        <v>1141</v>
      </c>
      <c r="B272" s="24" t="s">
        <v>1038</v>
      </c>
      <c r="C272" s="14" t="s">
        <v>60</v>
      </c>
      <c r="D272" s="14" t="s">
        <v>610</v>
      </c>
      <c r="E272" s="14" t="s">
        <v>78</v>
      </c>
      <c r="F272" s="14" t="s">
        <v>1142</v>
      </c>
      <c r="G272" s="14" t="s">
        <v>1143</v>
      </c>
      <c r="H272" s="14" t="s">
        <v>1140</v>
      </c>
      <c r="I272" s="24" t="s">
        <v>64</v>
      </c>
      <c r="J272" s="25"/>
      <c r="K272" s="26"/>
      <c r="L272" s="27"/>
      <c r="M272" s="25"/>
    </row>
    <row r="273" spans="1:13" ht="25" x14ac:dyDescent="0.35">
      <c r="A273" s="23" t="s">
        <v>1144</v>
      </c>
      <c r="B273" s="24" t="s">
        <v>1038</v>
      </c>
      <c r="C273" s="14" t="s">
        <v>60</v>
      </c>
      <c r="D273" s="14" t="s">
        <v>610</v>
      </c>
      <c r="E273" s="14" t="s">
        <v>72</v>
      </c>
      <c r="F273" s="14" t="s">
        <v>1145</v>
      </c>
      <c r="G273" s="14" t="s">
        <v>1146</v>
      </c>
      <c r="H273" s="14" t="s">
        <v>1140</v>
      </c>
      <c r="I273" s="24" t="s">
        <v>64</v>
      </c>
      <c r="J273" s="25"/>
      <c r="K273" s="26"/>
      <c r="L273" s="27"/>
      <c r="M273" s="25"/>
    </row>
    <row r="274" spans="1:13" ht="25" x14ac:dyDescent="0.35">
      <c r="A274" s="23" t="s">
        <v>1147</v>
      </c>
      <c r="B274" s="24" t="s">
        <v>1038</v>
      </c>
      <c r="C274" s="14" t="s">
        <v>60</v>
      </c>
      <c r="D274" s="14" t="s">
        <v>290</v>
      </c>
      <c r="E274" s="14" t="s">
        <v>74</v>
      </c>
      <c r="F274" s="14" t="s">
        <v>1148</v>
      </c>
      <c r="G274" s="14" t="s">
        <v>1149</v>
      </c>
      <c r="H274" s="14" t="s">
        <v>1150</v>
      </c>
      <c r="I274" s="24" t="s">
        <v>64</v>
      </c>
      <c r="J274" s="25"/>
      <c r="K274" s="26"/>
      <c r="L274" s="27"/>
      <c r="M274" s="25"/>
    </row>
    <row r="275" spans="1:13" ht="25" x14ac:dyDescent="0.35">
      <c r="A275" s="23" t="s">
        <v>1151</v>
      </c>
      <c r="B275" s="24" t="s">
        <v>1038</v>
      </c>
      <c r="C275" s="14" t="s">
        <v>60</v>
      </c>
      <c r="D275" s="14" t="s">
        <v>290</v>
      </c>
      <c r="E275" s="14" t="s">
        <v>83</v>
      </c>
      <c r="F275" s="14" t="s">
        <v>1152</v>
      </c>
      <c r="G275" s="14" t="s">
        <v>1153</v>
      </c>
      <c r="H275" s="14" t="s">
        <v>1150</v>
      </c>
      <c r="I275" s="24" t="s">
        <v>64</v>
      </c>
      <c r="J275" s="25"/>
      <c r="K275" s="26"/>
      <c r="L275" s="27"/>
      <c r="M275" s="25"/>
    </row>
    <row r="276" spans="1:13" ht="25" x14ac:dyDescent="0.35">
      <c r="A276" s="23" t="s">
        <v>1154</v>
      </c>
      <c r="B276" s="24" t="s">
        <v>1038</v>
      </c>
      <c r="C276" s="14" t="s">
        <v>60</v>
      </c>
      <c r="D276" s="14" t="s">
        <v>290</v>
      </c>
      <c r="E276" s="14" t="s">
        <v>74</v>
      </c>
      <c r="F276" s="14" t="s">
        <v>1155</v>
      </c>
      <c r="G276" s="14" t="s">
        <v>1156</v>
      </c>
      <c r="H276" s="14" t="s">
        <v>1157</v>
      </c>
      <c r="I276" s="24" t="s">
        <v>65</v>
      </c>
      <c r="J276" s="25"/>
      <c r="K276" s="26"/>
      <c r="L276" s="27"/>
      <c r="M276" s="25"/>
    </row>
    <row r="277" spans="1:13" ht="25" x14ac:dyDescent="0.35">
      <c r="A277" s="23" t="s">
        <v>1158</v>
      </c>
      <c r="B277" s="24" t="s">
        <v>1038</v>
      </c>
      <c r="C277" s="14" t="s">
        <v>60</v>
      </c>
      <c r="D277" s="14" t="s">
        <v>1159</v>
      </c>
      <c r="E277" s="14" t="s">
        <v>71</v>
      </c>
      <c r="F277" s="14" t="s">
        <v>1160</v>
      </c>
      <c r="G277" s="14" t="s">
        <v>1161</v>
      </c>
      <c r="H277" s="14" t="s">
        <v>1162</v>
      </c>
      <c r="I277" s="24" t="s">
        <v>65</v>
      </c>
      <c r="J277" s="25"/>
      <c r="K277" s="26"/>
      <c r="L277" s="27"/>
      <c r="M277" s="25"/>
    </row>
  </sheetData>
  <autoFilter ref="A1:M277" xr:uid="{00000000-0009-0000-0000-000002000000}"/>
  <conditionalFormatting sqref="A2:I277">
    <cfRule type="expression" dxfId="4" priority="1">
      <formula>$J2="Pass"</formula>
    </cfRule>
    <cfRule type="expression" dxfId="3" priority="2">
      <formula>$J2="Fail"</formula>
    </cfRule>
    <cfRule type="expression" dxfId="2" priority="3">
      <formula>$J2="Blocked"</formula>
    </cfRule>
    <cfRule type="expression" dxfId="1" priority="4">
      <formula>$J2="N/A"</formula>
    </cfRule>
  </conditionalFormatting>
  <conditionalFormatting sqref="I2:I277">
    <cfRule type="expression" dxfId="0" priority="5">
      <formula>$I2="Critical"</formula>
    </cfRule>
  </conditionalFormatting>
  <dataValidations count="2">
    <dataValidation type="list" allowBlank="1" error="Choose Pass, Fail, Blocked or N/A (empty = not tested yet)" prompt="Pass · Fail · Blocked · N/A — empty = not tested" sqref="J2:J277" xr:uid="{00000000-0002-0000-0200-000000000000}">
      <formula1>"Pass,Fail,Blocked,N/A"</formula1>
    </dataValidation>
    <dataValidation type="date" operator="greaterThan" allowBlank="1" error="Enter a date, e.g. 23-10-2026" sqref="K2:K277" xr:uid="{00000000-0002-0000-0200-000001000000}">
      <formula1>45000</formula1>
    </dataValidation>
  </dataValidations>
  <pageMargins left="0.75" right="0.75" top="1" bottom="1" header="0.5" footer="0.5"/>
  <pageSetup paperSize="9" scale="46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52"/>
  <sheetViews>
    <sheetView workbookViewId="0">
      <pane ySplit="2" topLeftCell="A33" activePane="bottomLeft" state="frozen"/>
      <selection pane="bottomLeft"/>
    </sheetView>
  </sheetViews>
  <sheetFormatPr defaultRowHeight="14.5" x14ac:dyDescent="0.35"/>
  <cols>
    <col min="1" max="2" width="10" customWidth="1"/>
    <col min="3" max="3" width="12" customWidth="1"/>
    <col min="4" max="4" width="22" customWidth="1"/>
    <col min="5" max="5" width="14" customWidth="1"/>
    <col min="6" max="6" width="40" customWidth="1"/>
    <col min="7" max="7" width="34" customWidth="1"/>
    <col min="8" max="8" width="40" customWidth="1"/>
    <col min="9" max="9" width="18" customWidth="1"/>
    <col min="10" max="10" width="13" customWidth="1"/>
    <col min="11" max="11" width="11" customWidth="1"/>
    <col min="12" max="12" width="12" customWidth="1"/>
  </cols>
  <sheetData>
    <row r="1" spans="1:12" x14ac:dyDescent="0.35">
      <c r="A1" s="13" t="s">
        <v>100</v>
      </c>
      <c r="B1" s="13" t="s">
        <v>1163</v>
      </c>
      <c r="C1" s="13" t="s">
        <v>1164</v>
      </c>
      <c r="D1" s="13" t="s">
        <v>1165</v>
      </c>
      <c r="E1" s="13" t="s">
        <v>1166</v>
      </c>
      <c r="F1" s="13" t="s">
        <v>1167</v>
      </c>
      <c r="G1" s="13" t="s">
        <v>1168</v>
      </c>
      <c r="H1" s="13" t="s">
        <v>1169</v>
      </c>
      <c r="I1" s="13" t="s">
        <v>1170</v>
      </c>
      <c r="J1" s="13" t="s">
        <v>8</v>
      </c>
      <c r="K1" s="13" t="s">
        <v>97</v>
      </c>
      <c r="L1" s="13" t="s">
        <v>1171</v>
      </c>
    </row>
    <row r="2" spans="1:12" ht="26" x14ac:dyDescent="0.35">
      <c r="A2" s="28" t="s">
        <v>1172</v>
      </c>
      <c r="B2" s="28" t="s">
        <v>1173</v>
      </c>
      <c r="C2" s="28" t="s">
        <v>256</v>
      </c>
      <c r="D2" s="28" t="s">
        <v>306</v>
      </c>
      <c r="E2" s="28" t="s">
        <v>76</v>
      </c>
      <c r="F2" s="28" t="s">
        <v>1174</v>
      </c>
      <c r="G2" s="28" t="s">
        <v>1175</v>
      </c>
      <c r="H2" s="28" t="s">
        <v>1176</v>
      </c>
      <c r="I2" s="28" t="s">
        <v>1177</v>
      </c>
      <c r="J2" s="28" t="s">
        <v>1178</v>
      </c>
      <c r="K2" s="28" t="s">
        <v>1179</v>
      </c>
      <c r="L2" s="28"/>
    </row>
    <row r="3" spans="1:12" x14ac:dyDescent="0.35">
      <c r="A3" s="29" t="s">
        <v>1180</v>
      </c>
      <c r="B3" s="30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35">
      <c r="A4" s="29" t="s">
        <v>1181</v>
      </c>
      <c r="B4" s="30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x14ac:dyDescent="0.35">
      <c r="A5" s="29" t="s">
        <v>1182</v>
      </c>
      <c r="B5" s="30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35">
      <c r="A6" s="29" t="s">
        <v>1183</v>
      </c>
      <c r="B6" s="30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35">
      <c r="A7" s="29" t="s">
        <v>1184</v>
      </c>
      <c r="B7" s="30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x14ac:dyDescent="0.35">
      <c r="A8" s="29" t="s">
        <v>1185</v>
      </c>
      <c r="B8" s="30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x14ac:dyDescent="0.35">
      <c r="A9" s="29" t="s">
        <v>1186</v>
      </c>
      <c r="B9" s="30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 x14ac:dyDescent="0.35">
      <c r="A10" s="29" t="s">
        <v>1187</v>
      </c>
      <c r="B10" s="30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x14ac:dyDescent="0.35">
      <c r="A11" s="29" t="s">
        <v>1188</v>
      </c>
      <c r="B11" s="30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x14ac:dyDescent="0.35">
      <c r="A12" s="29" t="s">
        <v>1189</v>
      </c>
      <c r="B12" s="30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x14ac:dyDescent="0.35">
      <c r="A13" s="29" t="s">
        <v>1190</v>
      </c>
      <c r="B13" s="30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2" x14ac:dyDescent="0.35">
      <c r="A14" s="29" t="s">
        <v>1191</v>
      </c>
      <c r="B14" s="30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x14ac:dyDescent="0.35">
      <c r="A15" s="29" t="s">
        <v>1192</v>
      </c>
      <c r="B15" s="30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x14ac:dyDescent="0.35">
      <c r="A16" s="29" t="s">
        <v>1193</v>
      </c>
      <c r="B16" s="30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 x14ac:dyDescent="0.35">
      <c r="A17" s="29" t="s">
        <v>1194</v>
      </c>
      <c r="B17" s="30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 x14ac:dyDescent="0.35">
      <c r="A18" s="29" t="s">
        <v>1195</v>
      </c>
      <c r="B18" s="30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x14ac:dyDescent="0.35">
      <c r="A19" s="29" t="s">
        <v>1196</v>
      </c>
      <c r="B19" s="30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x14ac:dyDescent="0.35">
      <c r="A20" s="29" t="s">
        <v>1197</v>
      </c>
      <c r="B20" s="30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 x14ac:dyDescent="0.35">
      <c r="A21" s="29" t="s">
        <v>1198</v>
      </c>
      <c r="B21" s="30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x14ac:dyDescent="0.35">
      <c r="A22" s="29" t="s">
        <v>1199</v>
      </c>
      <c r="B22" s="30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x14ac:dyDescent="0.35">
      <c r="A23" s="29" t="s">
        <v>1200</v>
      </c>
      <c r="B23" s="30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 x14ac:dyDescent="0.35">
      <c r="A24" s="29" t="s">
        <v>1201</v>
      </c>
      <c r="B24" s="30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1:12" x14ac:dyDescent="0.35">
      <c r="A25" s="29" t="s">
        <v>1202</v>
      </c>
      <c r="B25" s="30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x14ac:dyDescent="0.35">
      <c r="A26" s="29" t="s">
        <v>1203</v>
      </c>
      <c r="B26" s="30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 x14ac:dyDescent="0.35">
      <c r="A27" s="29" t="s">
        <v>1204</v>
      </c>
      <c r="B27" s="30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 x14ac:dyDescent="0.35">
      <c r="A28" s="29" t="s">
        <v>1205</v>
      </c>
      <c r="B28" s="30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x14ac:dyDescent="0.35">
      <c r="A29" s="29" t="s">
        <v>1206</v>
      </c>
      <c r="B29" s="30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x14ac:dyDescent="0.35">
      <c r="A30" s="29" t="s">
        <v>1207</v>
      </c>
      <c r="B30" s="30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 x14ac:dyDescent="0.35">
      <c r="A31" s="29" t="s">
        <v>1208</v>
      </c>
      <c r="B31" s="30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 x14ac:dyDescent="0.35">
      <c r="A32" s="29" t="s">
        <v>1209</v>
      </c>
      <c r="B32" s="30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x14ac:dyDescent="0.35">
      <c r="A33" s="29" t="s">
        <v>1210</v>
      </c>
      <c r="B33" s="30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x14ac:dyDescent="0.35">
      <c r="A34" s="29" t="s">
        <v>1211</v>
      </c>
      <c r="B34" s="30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x14ac:dyDescent="0.35">
      <c r="A35" s="29" t="s">
        <v>1212</v>
      </c>
      <c r="B35" s="30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 x14ac:dyDescent="0.35">
      <c r="A36" s="29" t="s">
        <v>1213</v>
      </c>
      <c r="B36" s="30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 x14ac:dyDescent="0.35">
      <c r="A37" s="29" t="s">
        <v>1214</v>
      </c>
      <c r="B37" s="30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x14ac:dyDescent="0.35">
      <c r="A38" s="29" t="s">
        <v>1215</v>
      </c>
      <c r="B38" s="30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x14ac:dyDescent="0.35">
      <c r="A39" s="29" t="s">
        <v>1216</v>
      </c>
      <c r="B39" s="30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x14ac:dyDescent="0.35">
      <c r="A40" s="29" t="s">
        <v>1217</v>
      </c>
      <c r="B40" s="30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2" x14ac:dyDescent="0.35">
      <c r="A41" s="29" t="s">
        <v>1218</v>
      </c>
      <c r="B41" s="30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spans="1:12" x14ac:dyDescent="0.35">
      <c r="A42" s="29" t="s">
        <v>1219</v>
      </c>
      <c r="B42" s="30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 x14ac:dyDescent="0.35">
      <c r="A43" s="29" t="s">
        <v>1220</v>
      </c>
      <c r="B43" s="30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1:12" x14ac:dyDescent="0.35">
      <c r="A44" s="29" t="s">
        <v>1221</v>
      </c>
      <c r="B44" s="30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x14ac:dyDescent="0.35">
      <c r="A45" s="29" t="s">
        <v>1222</v>
      </c>
      <c r="B45" s="30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x14ac:dyDescent="0.35">
      <c r="A46" s="29" t="s">
        <v>1223</v>
      </c>
      <c r="B46" s="30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 x14ac:dyDescent="0.35">
      <c r="A47" s="29" t="s">
        <v>1224</v>
      </c>
      <c r="B47" s="30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x14ac:dyDescent="0.35">
      <c r="A48" s="29" t="s">
        <v>1225</v>
      </c>
      <c r="B48" s="30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x14ac:dyDescent="0.35">
      <c r="A49" s="29" t="s">
        <v>1226</v>
      </c>
      <c r="B49" s="30"/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spans="1:12" x14ac:dyDescent="0.35">
      <c r="A50" s="29" t="s">
        <v>1227</v>
      </c>
      <c r="B50" s="30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spans="1:12" x14ac:dyDescent="0.35">
      <c r="A51" s="29" t="s">
        <v>1228</v>
      </c>
      <c r="B51" s="30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2" x14ac:dyDescent="0.35">
      <c r="A52" s="29" t="s">
        <v>1229</v>
      </c>
      <c r="B52" s="30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 x14ac:dyDescent="0.35">
      <c r="A53" s="29" t="s">
        <v>1230</v>
      </c>
      <c r="B53" s="30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2" x14ac:dyDescent="0.35">
      <c r="A54" s="29" t="s">
        <v>1231</v>
      </c>
      <c r="B54" s="30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2" x14ac:dyDescent="0.35">
      <c r="A55" s="29" t="s">
        <v>1232</v>
      </c>
      <c r="B55" s="30"/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2" x14ac:dyDescent="0.35">
      <c r="A56" s="29" t="s">
        <v>1233</v>
      </c>
      <c r="B56" s="30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1:12" x14ac:dyDescent="0.35">
      <c r="A57" s="29" t="s">
        <v>1234</v>
      </c>
      <c r="B57" s="30"/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 spans="1:12" x14ac:dyDescent="0.35">
      <c r="A58" s="29" t="s">
        <v>1235</v>
      </c>
      <c r="B58" s="30"/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 spans="1:12" x14ac:dyDescent="0.35">
      <c r="A59" s="29" t="s">
        <v>1236</v>
      </c>
      <c r="B59" s="30"/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spans="1:12" x14ac:dyDescent="0.35">
      <c r="A60" s="29" t="s">
        <v>1237</v>
      </c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spans="1:12" x14ac:dyDescent="0.35">
      <c r="A61" s="29" t="s">
        <v>1238</v>
      </c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x14ac:dyDescent="0.35">
      <c r="A62" s="29" t="s">
        <v>1239</v>
      </c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 x14ac:dyDescent="0.35">
      <c r="A63" s="29" t="s">
        <v>1240</v>
      </c>
      <c r="B63" s="30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x14ac:dyDescent="0.35">
      <c r="A64" s="29" t="s">
        <v>1241</v>
      </c>
      <c r="B64" s="30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x14ac:dyDescent="0.35">
      <c r="A65" s="29" t="s">
        <v>1242</v>
      </c>
      <c r="B65" s="30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x14ac:dyDescent="0.35">
      <c r="A66" s="29" t="s">
        <v>1243</v>
      </c>
      <c r="B66" s="30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1:12" x14ac:dyDescent="0.35">
      <c r="A67" s="29" t="s">
        <v>1244</v>
      </c>
      <c r="B67" s="30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spans="1:12" x14ac:dyDescent="0.35">
      <c r="A68" s="29" t="s">
        <v>1245</v>
      </c>
      <c r="B68" s="30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x14ac:dyDescent="0.35">
      <c r="A69" s="29" t="s">
        <v>1246</v>
      </c>
      <c r="B69" s="30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x14ac:dyDescent="0.35">
      <c r="A70" s="29" t="s">
        <v>1247</v>
      </c>
      <c r="B70" s="30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x14ac:dyDescent="0.35">
      <c r="A71" s="29" t="s">
        <v>1248</v>
      </c>
      <c r="B71" s="30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1:12" x14ac:dyDescent="0.35">
      <c r="A72" s="29" t="s">
        <v>1249</v>
      </c>
      <c r="B72" s="30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2" x14ac:dyDescent="0.35">
      <c r="A73" s="29" t="s">
        <v>1250</v>
      </c>
      <c r="B73" s="30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1:12" x14ac:dyDescent="0.35">
      <c r="A74" s="29" t="s">
        <v>1251</v>
      </c>
      <c r="B74" s="30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x14ac:dyDescent="0.35">
      <c r="A75" s="29" t="s">
        <v>1252</v>
      </c>
      <c r="B75" s="30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x14ac:dyDescent="0.35">
      <c r="A76" s="29" t="s">
        <v>1253</v>
      </c>
      <c r="B76" s="30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x14ac:dyDescent="0.35">
      <c r="A77" s="29" t="s">
        <v>1254</v>
      </c>
      <c r="B77" s="30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x14ac:dyDescent="0.35">
      <c r="A78" s="29" t="s">
        <v>1255</v>
      </c>
      <c r="B78" s="30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x14ac:dyDescent="0.35">
      <c r="A79" s="29" t="s">
        <v>1256</v>
      </c>
      <c r="B79" s="30"/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 spans="1:12" x14ac:dyDescent="0.35">
      <c r="A80" s="29" t="s">
        <v>1257</v>
      </c>
      <c r="B80" s="30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x14ac:dyDescent="0.35">
      <c r="A81" s="29" t="s">
        <v>1258</v>
      </c>
      <c r="B81" s="30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x14ac:dyDescent="0.35">
      <c r="A82" s="29" t="s">
        <v>1259</v>
      </c>
      <c r="B82" s="30"/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x14ac:dyDescent="0.35">
      <c r="A83" s="29" t="s">
        <v>1260</v>
      </c>
      <c r="B83" s="30"/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1:12" x14ac:dyDescent="0.35">
      <c r="A84" s="29" t="s">
        <v>1261</v>
      </c>
      <c r="B84" s="30"/>
      <c r="C84" s="27"/>
      <c r="D84" s="27"/>
      <c r="E84" s="27"/>
      <c r="F84" s="27"/>
      <c r="G84" s="27"/>
      <c r="H84" s="27"/>
      <c r="I84" s="27"/>
      <c r="J84" s="27"/>
      <c r="K84" s="27"/>
      <c r="L84" s="27"/>
    </row>
    <row r="85" spans="1:12" x14ac:dyDescent="0.35">
      <c r="A85" s="29" t="s">
        <v>1262</v>
      </c>
      <c r="B85" s="30"/>
      <c r="C85" s="27"/>
      <c r="D85" s="27"/>
      <c r="E85" s="27"/>
      <c r="F85" s="27"/>
      <c r="G85" s="27"/>
      <c r="H85" s="27"/>
      <c r="I85" s="27"/>
      <c r="J85" s="27"/>
      <c r="K85" s="27"/>
      <c r="L85" s="27"/>
    </row>
    <row r="86" spans="1:12" x14ac:dyDescent="0.35">
      <c r="A86" s="29" t="s">
        <v>1263</v>
      </c>
      <c r="B86" s="30"/>
      <c r="C86" s="27"/>
      <c r="D86" s="27"/>
      <c r="E86" s="27"/>
      <c r="F86" s="27"/>
      <c r="G86" s="27"/>
      <c r="H86" s="27"/>
      <c r="I86" s="27"/>
      <c r="J86" s="27"/>
      <c r="K86" s="27"/>
      <c r="L86" s="27"/>
    </row>
    <row r="87" spans="1:12" x14ac:dyDescent="0.35">
      <c r="A87" s="29" t="s">
        <v>1264</v>
      </c>
      <c r="B87" s="30"/>
      <c r="C87" s="27"/>
      <c r="D87" s="27"/>
      <c r="E87" s="27"/>
      <c r="F87" s="27"/>
      <c r="G87" s="27"/>
      <c r="H87" s="27"/>
      <c r="I87" s="27"/>
      <c r="J87" s="27"/>
      <c r="K87" s="27"/>
      <c r="L87" s="27"/>
    </row>
    <row r="88" spans="1:12" x14ac:dyDescent="0.35">
      <c r="A88" s="29" t="s">
        <v>1265</v>
      </c>
      <c r="B88" s="30"/>
      <c r="C88" s="27"/>
      <c r="D88" s="27"/>
      <c r="E88" s="27"/>
      <c r="F88" s="27"/>
      <c r="G88" s="27"/>
      <c r="H88" s="27"/>
      <c r="I88" s="27"/>
      <c r="J88" s="27"/>
      <c r="K88" s="27"/>
      <c r="L88" s="27"/>
    </row>
    <row r="89" spans="1:12" x14ac:dyDescent="0.35">
      <c r="A89" s="29" t="s">
        <v>1266</v>
      </c>
      <c r="B89" s="30"/>
      <c r="C89" s="27"/>
      <c r="D89" s="27"/>
      <c r="E89" s="27"/>
      <c r="F89" s="27"/>
      <c r="G89" s="27"/>
      <c r="H89" s="27"/>
      <c r="I89" s="27"/>
      <c r="J89" s="27"/>
      <c r="K89" s="27"/>
      <c r="L89" s="27"/>
    </row>
    <row r="90" spans="1:12" x14ac:dyDescent="0.35">
      <c r="A90" s="29" t="s">
        <v>1267</v>
      </c>
      <c r="B90" s="30"/>
      <c r="C90" s="27"/>
      <c r="D90" s="27"/>
      <c r="E90" s="27"/>
      <c r="F90" s="27"/>
      <c r="G90" s="27"/>
      <c r="H90" s="27"/>
      <c r="I90" s="27"/>
      <c r="J90" s="27"/>
      <c r="K90" s="27"/>
      <c r="L90" s="27"/>
    </row>
    <row r="91" spans="1:12" x14ac:dyDescent="0.35">
      <c r="A91" s="29" t="s">
        <v>1268</v>
      </c>
      <c r="B91" s="30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1:12" x14ac:dyDescent="0.35">
      <c r="A92" s="29" t="s">
        <v>1269</v>
      </c>
      <c r="B92" s="30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 spans="1:12" x14ac:dyDescent="0.35">
      <c r="A93" s="29" t="s">
        <v>1270</v>
      </c>
      <c r="B93" s="30"/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 spans="1:12" x14ac:dyDescent="0.35">
      <c r="A94" s="29" t="s">
        <v>1271</v>
      </c>
      <c r="B94" s="30"/>
      <c r="C94" s="27"/>
      <c r="D94" s="27"/>
      <c r="E94" s="27"/>
      <c r="F94" s="27"/>
      <c r="G94" s="27"/>
      <c r="H94" s="27"/>
      <c r="I94" s="27"/>
      <c r="J94" s="27"/>
      <c r="K94" s="27"/>
      <c r="L94" s="27"/>
    </row>
    <row r="95" spans="1:12" x14ac:dyDescent="0.35">
      <c r="A95" s="29" t="s">
        <v>1272</v>
      </c>
      <c r="B95" s="30"/>
      <c r="C95" s="27"/>
      <c r="D95" s="27"/>
      <c r="E95" s="27"/>
      <c r="F95" s="27"/>
      <c r="G95" s="27"/>
      <c r="H95" s="27"/>
      <c r="I95" s="27"/>
      <c r="J95" s="27"/>
      <c r="K95" s="27"/>
      <c r="L95" s="27"/>
    </row>
    <row r="96" spans="1:12" x14ac:dyDescent="0.35">
      <c r="A96" s="29" t="s">
        <v>1273</v>
      </c>
      <c r="B96" s="30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 spans="1:12" x14ac:dyDescent="0.35">
      <c r="A97" s="29" t="s">
        <v>1274</v>
      </c>
      <c r="B97" s="30"/>
      <c r="C97" s="27"/>
      <c r="D97" s="27"/>
      <c r="E97" s="27"/>
      <c r="F97" s="27"/>
      <c r="G97" s="27"/>
      <c r="H97" s="27"/>
      <c r="I97" s="27"/>
      <c r="J97" s="27"/>
      <c r="K97" s="27"/>
      <c r="L97" s="27"/>
    </row>
    <row r="98" spans="1:12" x14ac:dyDescent="0.35">
      <c r="A98" s="29" t="s">
        <v>1275</v>
      </c>
      <c r="B98" s="30"/>
      <c r="C98" s="27"/>
      <c r="D98" s="27"/>
      <c r="E98" s="27"/>
      <c r="F98" s="27"/>
      <c r="G98" s="27"/>
      <c r="H98" s="27"/>
      <c r="I98" s="27"/>
      <c r="J98" s="27"/>
      <c r="K98" s="27"/>
      <c r="L98" s="27"/>
    </row>
    <row r="99" spans="1:12" x14ac:dyDescent="0.35">
      <c r="A99" s="29" t="s">
        <v>1276</v>
      </c>
      <c r="B99" s="30"/>
      <c r="C99" s="27"/>
      <c r="D99" s="27"/>
      <c r="E99" s="27"/>
      <c r="F99" s="27"/>
      <c r="G99" s="27"/>
      <c r="H99" s="27"/>
      <c r="I99" s="27"/>
      <c r="J99" s="27"/>
      <c r="K99" s="27"/>
      <c r="L99" s="27"/>
    </row>
    <row r="100" spans="1:12" x14ac:dyDescent="0.35">
      <c r="A100" s="29" t="s">
        <v>1277</v>
      </c>
      <c r="B100" s="30"/>
      <c r="C100" s="27"/>
      <c r="D100" s="27"/>
      <c r="E100" s="27"/>
      <c r="F100" s="27"/>
      <c r="G100" s="27"/>
      <c r="H100" s="27"/>
      <c r="I100" s="27"/>
      <c r="J100" s="27"/>
      <c r="K100" s="27"/>
      <c r="L100" s="27"/>
    </row>
    <row r="101" spans="1:12" x14ac:dyDescent="0.35">
      <c r="A101" s="29" t="s">
        <v>1278</v>
      </c>
      <c r="B101" s="30"/>
      <c r="C101" s="27"/>
      <c r="D101" s="27"/>
      <c r="E101" s="27"/>
      <c r="F101" s="27"/>
      <c r="G101" s="27"/>
      <c r="H101" s="27"/>
      <c r="I101" s="27"/>
      <c r="J101" s="27"/>
      <c r="K101" s="27"/>
      <c r="L101" s="27"/>
    </row>
    <row r="102" spans="1:12" x14ac:dyDescent="0.35">
      <c r="A102" s="29" t="s">
        <v>1279</v>
      </c>
      <c r="B102" s="30"/>
      <c r="C102" s="27"/>
      <c r="D102" s="27"/>
      <c r="E102" s="27"/>
      <c r="F102" s="27"/>
      <c r="G102" s="27"/>
      <c r="H102" s="27"/>
      <c r="I102" s="27"/>
      <c r="J102" s="27"/>
      <c r="K102" s="27"/>
      <c r="L102" s="27"/>
    </row>
    <row r="103" spans="1:12" x14ac:dyDescent="0.35">
      <c r="A103" s="29" t="s">
        <v>1280</v>
      </c>
      <c r="B103" s="30"/>
      <c r="C103" s="27"/>
      <c r="D103" s="27"/>
      <c r="E103" s="27"/>
      <c r="F103" s="27"/>
      <c r="G103" s="27"/>
      <c r="H103" s="27"/>
      <c r="I103" s="27"/>
      <c r="J103" s="27"/>
      <c r="K103" s="27"/>
      <c r="L103" s="27"/>
    </row>
    <row r="104" spans="1:12" x14ac:dyDescent="0.35">
      <c r="A104" s="29" t="s">
        <v>1281</v>
      </c>
      <c r="B104" s="30"/>
      <c r="C104" s="27"/>
      <c r="D104" s="27"/>
      <c r="E104" s="27"/>
      <c r="F104" s="27"/>
      <c r="G104" s="27"/>
      <c r="H104" s="27"/>
      <c r="I104" s="27"/>
      <c r="J104" s="27"/>
      <c r="K104" s="27"/>
      <c r="L104" s="27"/>
    </row>
    <row r="105" spans="1:12" x14ac:dyDescent="0.35">
      <c r="A105" s="29" t="s">
        <v>1282</v>
      </c>
      <c r="B105" s="30"/>
      <c r="C105" s="27"/>
      <c r="D105" s="27"/>
      <c r="E105" s="27"/>
      <c r="F105" s="27"/>
      <c r="G105" s="27"/>
      <c r="H105" s="27"/>
      <c r="I105" s="27"/>
      <c r="J105" s="27"/>
      <c r="K105" s="27"/>
      <c r="L105" s="27"/>
    </row>
    <row r="106" spans="1:12" x14ac:dyDescent="0.35">
      <c r="A106" s="29" t="s">
        <v>1283</v>
      </c>
      <c r="B106" s="30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12" x14ac:dyDescent="0.35">
      <c r="A107" s="29" t="s">
        <v>1284</v>
      </c>
      <c r="B107" s="30"/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1:12" x14ac:dyDescent="0.35">
      <c r="A108" s="29" t="s">
        <v>1285</v>
      </c>
      <c r="B108" s="30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2" x14ac:dyDescent="0.35">
      <c r="A109" s="29" t="s">
        <v>1286</v>
      </c>
      <c r="B109" s="30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0" spans="1:12" x14ac:dyDescent="0.35">
      <c r="A110" s="29" t="s">
        <v>1287</v>
      </c>
      <c r="B110" s="30"/>
      <c r="C110" s="27"/>
      <c r="D110" s="27"/>
      <c r="E110" s="27"/>
      <c r="F110" s="27"/>
      <c r="G110" s="27"/>
      <c r="H110" s="27"/>
      <c r="I110" s="27"/>
      <c r="J110" s="27"/>
      <c r="K110" s="27"/>
      <c r="L110" s="27"/>
    </row>
    <row r="111" spans="1:12" x14ac:dyDescent="0.35">
      <c r="A111" s="29" t="s">
        <v>1288</v>
      </c>
      <c r="B111" s="30"/>
      <c r="C111" s="27"/>
      <c r="D111" s="27"/>
      <c r="E111" s="27"/>
      <c r="F111" s="27"/>
      <c r="G111" s="27"/>
      <c r="H111" s="27"/>
      <c r="I111" s="27"/>
      <c r="J111" s="27"/>
      <c r="K111" s="27"/>
      <c r="L111" s="27"/>
    </row>
    <row r="112" spans="1:12" x14ac:dyDescent="0.35">
      <c r="A112" s="29" t="s">
        <v>1289</v>
      </c>
      <c r="B112" s="30"/>
      <c r="C112" s="27"/>
      <c r="D112" s="27"/>
      <c r="E112" s="27"/>
      <c r="F112" s="27"/>
      <c r="G112" s="27"/>
      <c r="H112" s="27"/>
      <c r="I112" s="27"/>
      <c r="J112" s="27"/>
      <c r="K112" s="27"/>
      <c r="L112" s="27"/>
    </row>
    <row r="113" spans="1:12" x14ac:dyDescent="0.35">
      <c r="A113" s="29" t="s">
        <v>1290</v>
      </c>
      <c r="B113" s="30"/>
      <c r="C113" s="27"/>
      <c r="D113" s="27"/>
      <c r="E113" s="27"/>
      <c r="F113" s="27"/>
      <c r="G113" s="27"/>
      <c r="H113" s="27"/>
      <c r="I113" s="27"/>
      <c r="J113" s="27"/>
      <c r="K113" s="27"/>
      <c r="L113" s="27"/>
    </row>
    <row r="114" spans="1:12" x14ac:dyDescent="0.35">
      <c r="A114" s="29" t="s">
        <v>1291</v>
      </c>
      <c r="B114" s="30"/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spans="1:12" x14ac:dyDescent="0.35">
      <c r="A115" s="29" t="s">
        <v>1292</v>
      </c>
      <c r="B115" s="30"/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spans="1:12" x14ac:dyDescent="0.35">
      <c r="A116" s="29" t="s">
        <v>1293</v>
      </c>
      <c r="B116" s="30"/>
      <c r="C116" s="27"/>
      <c r="D116" s="27"/>
      <c r="E116" s="27"/>
      <c r="F116" s="27"/>
      <c r="G116" s="27"/>
      <c r="H116" s="27"/>
      <c r="I116" s="27"/>
      <c r="J116" s="27"/>
      <c r="K116" s="27"/>
      <c r="L116" s="27"/>
    </row>
    <row r="117" spans="1:12" x14ac:dyDescent="0.35">
      <c r="A117" s="29" t="s">
        <v>1294</v>
      </c>
      <c r="B117" s="30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spans="1:12" x14ac:dyDescent="0.35">
      <c r="A118" s="29" t="s">
        <v>1295</v>
      </c>
      <c r="B118" s="30"/>
      <c r="C118" s="27"/>
      <c r="D118" s="27"/>
      <c r="E118" s="27"/>
      <c r="F118" s="27"/>
      <c r="G118" s="27"/>
      <c r="H118" s="27"/>
      <c r="I118" s="27"/>
      <c r="J118" s="27"/>
      <c r="K118" s="27"/>
      <c r="L118" s="27"/>
    </row>
    <row r="119" spans="1:12" x14ac:dyDescent="0.35">
      <c r="A119" s="29" t="s">
        <v>1296</v>
      </c>
      <c r="B119" s="30"/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spans="1:12" x14ac:dyDescent="0.35">
      <c r="A120" s="29" t="s">
        <v>1297</v>
      </c>
      <c r="B120" s="30"/>
      <c r="C120" s="27"/>
      <c r="D120" s="27"/>
      <c r="E120" s="27"/>
      <c r="F120" s="27"/>
      <c r="G120" s="27"/>
      <c r="H120" s="27"/>
      <c r="I120" s="27"/>
      <c r="J120" s="27"/>
      <c r="K120" s="27"/>
      <c r="L120" s="27"/>
    </row>
    <row r="121" spans="1:12" x14ac:dyDescent="0.35">
      <c r="A121" s="29" t="s">
        <v>1298</v>
      </c>
      <c r="B121" s="30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 x14ac:dyDescent="0.35">
      <c r="A122" s="29" t="s">
        <v>1299</v>
      </c>
      <c r="B122" s="30"/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spans="1:12" x14ac:dyDescent="0.35">
      <c r="A123" s="29" t="s">
        <v>1300</v>
      </c>
      <c r="B123" s="30"/>
      <c r="C123" s="27"/>
      <c r="D123" s="27"/>
      <c r="E123" s="27"/>
      <c r="F123" s="27"/>
      <c r="G123" s="27"/>
      <c r="H123" s="27"/>
      <c r="I123" s="27"/>
      <c r="J123" s="27"/>
      <c r="K123" s="27"/>
      <c r="L123" s="27"/>
    </row>
    <row r="124" spans="1:12" x14ac:dyDescent="0.35">
      <c r="A124" s="29" t="s">
        <v>1301</v>
      </c>
      <c r="B124" s="30"/>
      <c r="C124" s="27"/>
      <c r="D124" s="27"/>
      <c r="E124" s="27"/>
      <c r="F124" s="27"/>
      <c r="G124" s="27"/>
      <c r="H124" s="27"/>
      <c r="I124" s="27"/>
      <c r="J124" s="27"/>
      <c r="K124" s="27"/>
      <c r="L124" s="27"/>
    </row>
    <row r="125" spans="1:12" x14ac:dyDescent="0.35">
      <c r="A125" s="29" t="s">
        <v>1302</v>
      </c>
      <c r="B125" s="30"/>
      <c r="C125" s="27"/>
      <c r="D125" s="27"/>
      <c r="E125" s="27"/>
      <c r="F125" s="27"/>
      <c r="G125" s="27"/>
      <c r="H125" s="27"/>
      <c r="I125" s="27"/>
      <c r="J125" s="27"/>
      <c r="K125" s="27"/>
      <c r="L125" s="27"/>
    </row>
    <row r="126" spans="1:12" x14ac:dyDescent="0.35">
      <c r="A126" s="29" t="s">
        <v>1303</v>
      </c>
      <c r="B126" s="30"/>
      <c r="C126" s="27"/>
      <c r="D126" s="27"/>
      <c r="E126" s="27"/>
      <c r="F126" s="27"/>
      <c r="G126" s="27"/>
      <c r="H126" s="27"/>
      <c r="I126" s="27"/>
      <c r="J126" s="27"/>
      <c r="K126" s="27"/>
      <c r="L126" s="27"/>
    </row>
    <row r="127" spans="1:12" x14ac:dyDescent="0.35">
      <c r="A127" s="29" t="s">
        <v>1304</v>
      </c>
      <c r="B127" s="30"/>
      <c r="C127" s="27"/>
      <c r="D127" s="27"/>
      <c r="E127" s="27"/>
      <c r="F127" s="27"/>
      <c r="G127" s="27"/>
      <c r="H127" s="27"/>
      <c r="I127" s="27"/>
      <c r="J127" s="27"/>
      <c r="K127" s="27"/>
      <c r="L127" s="27"/>
    </row>
    <row r="128" spans="1:12" x14ac:dyDescent="0.35">
      <c r="A128" s="29" t="s">
        <v>1305</v>
      </c>
      <c r="B128" s="30"/>
      <c r="C128" s="27"/>
      <c r="D128" s="27"/>
      <c r="E128" s="27"/>
      <c r="F128" s="27"/>
      <c r="G128" s="27"/>
      <c r="H128" s="27"/>
      <c r="I128" s="27"/>
      <c r="J128" s="27"/>
      <c r="K128" s="27"/>
      <c r="L128" s="27"/>
    </row>
    <row r="129" spans="1:12" x14ac:dyDescent="0.35">
      <c r="A129" s="29" t="s">
        <v>1306</v>
      </c>
      <c r="B129" s="30"/>
      <c r="C129" s="27"/>
      <c r="D129" s="27"/>
      <c r="E129" s="27"/>
      <c r="F129" s="27"/>
      <c r="G129" s="27"/>
      <c r="H129" s="27"/>
      <c r="I129" s="27"/>
      <c r="J129" s="27"/>
      <c r="K129" s="27"/>
      <c r="L129" s="27"/>
    </row>
    <row r="130" spans="1:12" x14ac:dyDescent="0.35">
      <c r="A130" s="29" t="s">
        <v>1307</v>
      </c>
      <c r="B130" s="30"/>
      <c r="C130" s="27"/>
      <c r="D130" s="27"/>
      <c r="E130" s="27"/>
      <c r="F130" s="27"/>
      <c r="G130" s="27"/>
      <c r="H130" s="27"/>
      <c r="I130" s="27"/>
      <c r="J130" s="27"/>
      <c r="K130" s="27"/>
      <c r="L130" s="27"/>
    </row>
    <row r="131" spans="1:12" x14ac:dyDescent="0.35">
      <c r="A131" s="29" t="s">
        <v>1308</v>
      </c>
      <c r="B131" s="30"/>
      <c r="C131" s="27"/>
      <c r="D131" s="27"/>
      <c r="E131" s="27"/>
      <c r="F131" s="27"/>
      <c r="G131" s="27"/>
      <c r="H131" s="27"/>
      <c r="I131" s="27"/>
      <c r="J131" s="27"/>
      <c r="K131" s="27"/>
      <c r="L131" s="27"/>
    </row>
    <row r="132" spans="1:12" x14ac:dyDescent="0.35">
      <c r="A132" s="29" t="s">
        <v>1309</v>
      </c>
      <c r="B132" s="30"/>
      <c r="C132" s="27"/>
      <c r="D132" s="27"/>
      <c r="E132" s="27"/>
      <c r="F132" s="27"/>
      <c r="G132" s="27"/>
      <c r="H132" s="27"/>
      <c r="I132" s="27"/>
      <c r="J132" s="27"/>
      <c r="K132" s="27"/>
      <c r="L132" s="27"/>
    </row>
    <row r="133" spans="1:12" x14ac:dyDescent="0.35">
      <c r="A133" s="29" t="s">
        <v>1310</v>
      </c>
      <c r="B133" s="30"/>
      <c r="C133" s="27"/>
      <c r="D133" s="27"/>
      <c r="E133" s="27"/>
      <c r="F133" s="27"/>
      <c r="G133" s="27"/>
      <c r="H133" s="27"/>
      <c r="I133" s="27"/>
      <c r="J133" s="27"/>
      <c r="K133" s="27"/>
      <c r="L133" s="27"/>
    </row>
    <row r="134" spans="1:12" x14ac:dyDescent="0.35">
      <c r="A134" s="29" t="s">
        <v>1311</v>
      </c>
      <c r="B134" s="30"/>
      <c r="C134" s="27"/>
      <c r="D134" s="27"/>
      <c r="E134" s="27"/>
      <c r="F134" s="27"/>
      <c r="G134" s="27"/>
      <c r="H134" s="27"/>
      <c r="I134" s="27"/>
      <c r="J134" s="27"/>
      <c r="K134" s="27"/>
      <c r="L134" s="27"/>
    </row>
    <row r="135" spans="1:12" x14ac:dyDescent="0.35">
      <c r="A135" s="29" t="s">
        <v>1312</v>
      </c>
      <c r="B135" s="30"/>
      <c r="C135" s="27"/>
      <c r="D135" s="27"/>
      <c r="E135" s="27"/>
      <c r="F135" s="27"/>
      <c r="G135" s="27"/>
      <c r="H135" s="27"/>
      <c r="I135" s="27"/>
      <c r="J135" s="27"/>
      <c r="K135" s="27"/>
      <c r="L135" s="27"/>
    </row>
    <row r="136" spans="1:12" x14ac:dyDescent="0.35">
      <c r="A136" s="29" t="s">
        <v>1313</v>
      </c>
      <c r="B136" s="30"/>
      <c r="C136" s="27"/>
      <c r="D136" s="27"/>
      <c r="E136" s="27"/>
      <c r="F136" s="27"/>
      <c r="G136" s="27"/>
      <c r="H136" s="27"/>
      <c r="I136" s="27"/>
      <c r="J136" s="27"/>
      <c r="K136" s="27"/>
      <c r="L136" s="27"/>
    </row>
    <row r="137" spans="1:12" x14ac:dyDescent="0.35">
      <c r="A137" s="29" t="s">
        <v>1314</v>
      </c>
      <c r="B137" s="30"/>
      <c r="C137" s="27"/>
      <c r="D137" s="27"/>
      <c r="E137" s="27"/>
      <c r="F137" s="27"/>
      <c r="G137" s="27"/>
      <c r="H137" s="27"/>
      <c r="I137" s="27"/>
      <c r="J137" s="27"/>
      <c r="K137" s="27"/>
      <c r="L137" s="27"/>
    </row>
    <row r="138" spans="1:12" x14ac:dyDescent="0.35">
      <c r="A138" s="29" t="s">
        <v>1315</v>
      </c>
      <c r="B138" s="30"/>
      <c r="C138" s="27"/>
      <c r="D138" s="27"/>
      <c r="E138" s="27"/>
      <c r="F138" s="27"/>
      <c r="G138" s="27"/>
      <c r="H138" s="27"/>
      <c r="I138" s="27"/>
      <c r="J138" s="27"/>
      <c r="K138" s="27"/>
      <c r="L138" s="27"/>
    </row>
    <row r="139" spans="1:12" x14ac:dyDescent="0.35">
      <c r="A139" s="29" t="s">
        <v>1316</v>
      </c>
      <c r="B139" s="30"/>
      <c r="C139" s="27"/>
      <c r="D139" s="27"/>
      <c r="E139" s="27"/>
      <c r="F139" s="27"/>
      <c r="G139" s="27"/>
      <c r="H139" s="27"/>
      <c r="I139" s="27"/>
      <c r="J139" s="27"/>
      <c r="K139" s="27"/>
      <c r="L139" s="27"/>
    </row>
    <row r="140" spans="1:12" x14ac:dyDescent="0.35">
      <c r="A140" s="29" t="s">
        <v>1317</v>
      </c>
      <c r="B140" s="30"/>
      <c r="C140" s="27"/>
      <c r="D140" s="27"/>
      <c r="E140" s="27"/>
      <c r="F140" s="27"/>
      <c r="G140" s="27"/>
      <c r="H140" s="27"/>
      <c r="I140" s="27"/>
      <c r="J140" s="27"/>
      <c r="K140" s="27"/>
      <c r="L140" s="27"/>
    </row>
    <row r="141" spans="1:12" x14ac:dyDescent="0.35">
      <c r="A141" s="29" t="s">
        <v>1318</v>
      </c>
      <c r="B141" s="30"/>
      <c r="C141" s="27"/>
      <c r="D141" s="27"/>
      <c r="E141" s="27"/>
      <c r="F141" s="27"/>
      <c r="G141" s="27"/>
      <c r="H141" s="27"/>
      <c r="I141" s="27"/>
      <c r="J141" s="27"/>
      <c r="K141" s="27"/>
      <c r="L141" s="27"/>
    </row>
    <row r="142" spans="1:12" x14ac:dyDescent="0.35">
      <c r="A142" s="29" t="s">
        <v>1319</v>
      </c>
      <c r="B142" s="30"/>
      <c r="C142" s="27"/>
      <c r="D142" s="27"/>
      <c r="E142" s="27"/>
      <c r="F142" s="27"/>
      <c r="G142" s="27"/>
      <c r="H142" s="27"/>
      <c r="I142" s="27"/>
      <c r="J142" s="27"/>
      <c r="K142" s="27"/>
      <c r="L142" s="27"/>
    </row>
    <row r="143" spans="1:12" x14ac:dyDescent="0.35">
      <c r="A143" s="29" t="s">
        <v>1320</v>
      </c>
      <c r="B143" s="30"/>
      <c r="C143" s="27"/>
      <c r="D143" s="27"/>
      <c r="E143" s="27"/>
      <c r="F143" s="27"/>
      <c r="G143" s="27"/>
      <c r="H143" s="27"/>
      <c r="I143" s="27"/>
      <c r="J143" s="27"/>
      <c r="K143" s="27"/>
      <c r="L143" s="27"/>
    </row>
    <row r="144" spans="1:12" x14ac:dyDescent="0.35">
      <c r="A144" s="29" t="s">
        <v>1321</v>
      </c>
      <c r="B144" s="30"/>
      <c r="C144" s="27"/>
      <c r="D144" s="27"/>
      <c r="E144" s="27"/>
      <c r="F144" s="27"/>
      <c r="G144" s="27"/>
      <c r="H144" s="27"/>
      <c r="I144" s="27"/>
      <c r="J144" s="27"/>
      <c r="K144" s="27"/>
      <c r="L144" s="27"/>
    </row>
    <row r="145" spans="1:12" x14ac:dyDescent="0.35">
      <c r="A145" s="29" t="s">
        <v>1322</v>
      </c>
      <c r="B145" s="30"/>
      <c r="C145" s="27"/>
      <c r="D145" s="27"/>
      <c r="E145" s="27"/>
      <c r="F145" s="27"/>
      <c r="G145" s="27"/>
      <c r="H145" s="27"/>
      <c r="I145" s="27"/>
      <c r="J145" s="27"/>
      <c r="K145" s="27"/>
      <c r="L145" s="27"/>
    </row>
    <row r="146" spans="1:12" x14ac:dyDescent="0.35">
      <c r="A146" s="29" t="s">
        <v>1323</v>
      </c>
      <c r="B146" s="30"/>
      <c r="C146" s="27"/>
      <c r="D146" s="27"/>
      <c r="E146" s="27"/>
      <c r="F146" s="27"/>
      <c r="G146" s="27"/>
      <c r="H146" s="27"/>
      <c r="I146" s="27"/>
      <c r="J146" s="27"/>
      <c r="K146" s="27"/>
      <c r="L146" s="27"/>
    </row>
    <row r="147" spans="1:12" x14ac:dyDescent="0.35">
      <c r="A147" s="29" t="s">
        <v>1324</v>
      </c>
      <c r="B147" s="30"/>
      <c r="C147" s="27"/>
      <c r="D147" s="27"/>
      <c r="E147" s="27"/>
      <c r="F147" s="27"/>
      <c r="G147" s="27"/>
      <c r="H147" s="27"/>
      <c r="I147" s="27"/>
      <c r="J147" s="27"/>
      <c r="K147" s="27"/>
      <c r="L147" s="27"/>
    </row>
    <row r="148" spans="1:12" x14ac:dyDescent="0.35">
      <c r="A148" s="29" t="s">
        <v>1325</v>
      </c>
      <c r="B148" s="30"/>
      <c r="C148" s="27"/>
      <c r="D148" s="27"/>
      <c r="E148" s="27"/>
      <c r="F148" s="27"/>
      <c r="G148" s="27"/>
      <c r="H148" s="27"/>
      <c r="I148" s="27"/>
      <c r="J148" s="27"/>
      <c r="K148" s="27"/>
      <c r="L148" s="27"/>
    </row>
    <row r="149" spans="1:12" x14ac:dyDescent="0.35">
      <c r="A149" s="29" t="s">
        <v>1326</v>
      </c>
      <c r="B149" s="30"/>
      <c r="C149" s="27"/>
      <c r="D149" s="27"/>
      <c r="E149" s="27"/>
      <c r="F149" s="27"/>
      <c r="G149" s="27"/>
      <c r="H149" s="27"/>
      <c r="I149" s="27"/>
      <c r="J149" s="27"/>
      <c r="K149" s="27"/>
      <c r="L149" s="27"/>
    </row>
    <row r="150" spans="1:12" x14ac:dyDescent="0.35">
      <c r="A150" s="29" t="s">
        <v>1327</v>
      </c>
      <c r="B150" s="30"/>
      <c r="C150" s="27"/>
      <c r="D150" s="27"/>
      <c r="E150" s="27"/>
      <c r="F150" s="27"/>
      <c r="G150" s="27"/>
      <c r="H150" s="27"/>
      <c r="I150" s="27"/>
      <c r="J150" s="27"/>
      <c r="K150" s="27"/>
      <c r="L150" s="27"/>
    </row>
    <row r="151" spans="1:12" x14ac:dyDescent="0.35">
      <c r="A151" s="29" t="s">
        <v>1328</v>
      </c>
      <c r="B151" s="30"/>
      <c r="C151" s="27"/>
      <c r="D151" s="27"/>
      <c r="E151" s="27"/>
      <c r="F151" s="27"/>
      <c r="G151" s="27"/>
      <c r="H151" s="27"/>
      <c r="I151" s="27"/>
      <c r="J151" s="27"/>
      <c r="K151" s="27"/>
      <c r="L151" s="27"/>
    </row>
    <row r="152" spans="1:12" x14ac:dyDescent="0.35">
      <c r="A152" s="29" t="s">
        <v>1329</v>
      </c>
      <c r="B152" s="30"/>
      <c r="C152" s="27"/>
      <c r="D152" s="27"/>
      <c r="E152" s="27"/>
      <c r="F152" s="27"/>
      <c r="G152" s="27"/>
      <c r="H152" s="27"/>
      <c r="I152" s="27"/>
      <c r="J152" s="27"/>
      <c r="K152" s="27"/>
      <c r="L152" s="27"/>
    </row>
  </sheetData>
  <autoFilter ref="A1:L152" xr:uid="{00000000-0009-0000-0000-000003000000}"/>
  <dataValidations count="2">
    <dataValidation type="list" allowBlank="1" sqref="J3:J152" xr:uid="{00000000-0002-0000-0300-000000000000}">
      <formula1>"Must fix,Should fix,Nice to have"</formula1>
    </dataValidation>
    <dataValidation type="list" allowBlank="1" sqref="K3:K152" xr:uid="{00000000-0002-0000-0300-000001000000}">
      <formula1>"Open,Fixed,Retest,Closed,Won't fix"</formula1>
    </dataValidation>
  </dataValidations>
  <pageMargins left="0.75" right="0.75" top="1" bottom="1" header="0.5" footer="0.5"/>
  <pageSetup paperSize="9" scale="5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Summary</vt:lpstr>
      <vt:lpstr>Checklist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2026-10-22T07:08:10Z</cp:lastPrinted>
  <dcterms:created xsi:type="dcterms:W3CDTF">2026-10-22T07:04:29Z</dcterms:created>
  <dcterms:modified xsi:type="dcterms:W3CDTF">2026-10-22T07:08:11Z</dcterms:modified>
</cp:coreProperties>
</file>